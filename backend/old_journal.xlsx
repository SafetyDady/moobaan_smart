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9db5957e0d5b257/MakMaiLeelawadee/MakmaiExcelDowload(Old)/"/>
    </mc:Choice>
  </mc:AlternateContent>
  <xr:revisionPtr revIDLastSave="8" documentId="13_ncr:1_{91DE7C31-EDDF-4576-BDA4-071F6CC336B1}" xr6:coauthVersionLast="47" xr6:coauthVersionMax="47" xr10:uidLastSave="{68931A54-A241-4721-81AF-DD816D222ABB}"/>
  <bookViews>
    <workbookView xWindow="28680" yWindow="-120" windowWidth="29040" windowHeight="15720" tabRatio="813" activeTab="4" xr2:uid="{00000000-000D-0000-FFFF-FFFF00000000}"/>
  </bookViews>
  <sheets>
    <sheet name="บันทึกรายการ 63" sheetId="14" r:id="rId1"/>
    <sheet name="Statement 63" sheetId="19" r:id="rId2"/>
    <sheet name="TB 63" sheetId="17" r:id="rId3"/>
    <sheet name="Accounts chart" sheetId="11" r:id="rId4"/>
    <sheet name="รายชื่อลูกบ้าน" sheetId="13" r:id="rId5"/>
    <sheet name="บันทึกรายวันMoveToStatement" sheetId="20" r:id="rId6"/>
  </sheets>
  <definedNames>
    <definedName name="_A100000">#REF!</definedName>
    <definedName name="_xlnm._FilterDatabase" localSheetId="0" hidden="1">'บันทึกรายการ 63'!$A$5:$L$999</definedName>
    <definedName name="_xlnm._FilterDatabase" localSheetId="5" hidden="1">บันทึกรายวันMoveToStatement!$A$5:$L$999</definedName>
    <definedName name="_xlnm.Print_Area" localSheetId="3">'Accounts chart'!$A$45:$C$79</definedName>
    <definedName name="_xlnm.Print_Titles" localSheetId="1">'Statement 63'!$1:$3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" i="14" l="1"/>
  <c r="C8" i="14"/>
  <c r="C9" i="14"/>
  <c r="C10" i="14"/>
  <c r="C11" i="14"/>
  <c r="C12" i="14"/>
  <c r="C13" i="14"/>
  <c r="C14" i="14"/>
  <c r="C15" i="14"/>
  <c r="C16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1" i="14"/>
  <c r="C52" i="14"/>
  <c r="C53" i="14"/>
  <c r="C54" i="14"/>
  <c r="C55" i="14"/>
  <c r="C56" i="14"/>
  <c r="C57" i="14"/>
  <c r="C58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2" i="14"/>
  <c r="C133" i="14"/>
  <c r="C134" i="14"/>
  <c r="C136" i="14"/>
  <c r="C137" i="14"/>
  <c r="C139" i="14"/>
  <c r="C140" i="14"/>
  <c r="C141" i="14"/>
  <c r="C142" i="14"/>
  <c r="C144" i="14"/>
  <c r="C145" i="14"/>
  <c r="C147" i="14"/>
  <c r="C148" i="14"/>
  <c r="C150" i="14"/>
  <c r="C151" i="14"/>
  <c r="C153" i="14"/>
  <c r="C154" i="14"/>
  <c r="C156" i="14"/>
  <c r="C157" i="14"/>
  <c r="C159" i="14"/>
  <c r="C160" i="14"/>
  <c r="C162" i="14"/>
  <c r="C163" i="14"/>
  <c r="C165" i="14"/>
  <c r="C166" i="14"/>
  <c r="C168" i="14"/>
  <c r="C169" i="14"/>
  <c r="C171" i="14"/>
  <c r="C172" i="14"/>
  <c r="C173" i="14"/>
  <c r="C174" i="14"/>
  <c r="C175" i="14"/>
  <c r="C176" i="14"/>
  <c r="C177" i="14"/>
  <c r="C178" i="14"/>
  <c r="C180" i="14"/>
  <c r="C181" i="14"/>
  <c r="C182" i="14"/>
  <c r="C183" i="14"/>
  <c r="C184" i="14"/>
  <c r="C185" i="14"/>
  <c r="C186" i="14"/>
  <c r="C187" i="14"/>
  <c r="C189" i="14"/>
  <c r="C190" i="14"/>
  <c r="C191" i="14"/>
  <c r="C192" i="14"/>
  <c r="C194" i="14"/>
  <c r="C195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7" i="14"/>
  <c r="C218" i="14"/>
  <c r="C219" i="14"/>
  <c r="C220" i="14"/>
  <c r="C221" i="14"/>
  <c r="C222" i="14"/>
  <c r="C224" i="14"/>
  <c r="C225" i="14"/>
  <c r="C226" i="14"/>
  <c r="C227" i="14"/>
  <c r="C229" i="14"/>
  <c r="C230" i="14"/>
  <c r="C231" i="14"/>
  <c r="C232" i="14"/>
  <c r="C233" i="14"/>
  <c r="C234" i="14"/>
  <c r="C235" i="14"/>
  <c r="C236" i="14"/>
  <c r="C237" i="14"/>
  <c r="C238" i="14"/>
  <c r="C239" i="14"/>
  <c r="C240" i="14"/>
  <c r="C242" i="14"/>
  <c r="C243" i="14"/>
  <c r="C245" i="14"/>
  <c r="C246" i="14"/>
  <c r="C247" i="14"/>
  <c r="C248" i="14"/>
  <c r="C249" i="14"/>
  <c r="C250" i="14"/>
  <c r="C251" i="14"/>
  <c r="C252" i="14"/>
  <c r="C253" i="14"/>
  <c r="C254" i="14"/>
  <c r="C257" i="14"/>
  <c r="C258" i="14"/>
  <c r="C259" i="14"/>
  <c r="C260" i="14"/>
  <c r="C261" i="14"/>
  <c r="C262" i="14"/>
  <c r="C263" i="14"/>
  <c r="C264" i="14"/>
  <c r="C265" i="14"/>
  <c r="C266" i="14"/>
  <c r="C267" i="14"/>
  <c r="C268" i="14"/>
  <c r="C271" i="14"/>
  <c r="C272" i="14"/>
  <c r="C273" i="14"/>
  <c r="C274" i="14"/>
  <c r="C275" i="14"/>
  <c r="C276" i="14"/>
  <c r="C277" i="14"/>
  <c r="C278" i="14"/>
  <c r="C279" i="14"/>
  <c r="C280" i="14"/>
  <c r="C281" i="14"/>
  <c r="C282" i="14"/>
  <c r="C283" i="14"/>
  <c r="C284" i="14"/>
  <c r="C285" i="14"/>
  <c r="C286" i="14"/>
  <c r="C287" i="14"/>
  <c r="C288" i="14"/>
  <c r="C289" i="14"/>
  <c r="C292" i="14"/>
  <c r="C293" i="14"/>
  <c r="C294" i="14"/>
  <c r="C295" i="14"/>
  <c r="C296" i="14"/>
  <c r="C297" i="14"/>
  <c r="C298" i="14"/>
  <c r="C299" i="14"/>
  <c r="C300" i="14"/>
  <c r="C301" i="14"/>
  <c r="C302" i="14"/>
  <c r="C303" i="14"/>
  <c r="C304" i="14"/>
  <c r="C305" i="14"/>
  <c r="C306" i="14"/>
  <c r="C307" i="14"/>
  <c r="C308" i="14"/>
  <c r="C309" i="14"/>
  <c r="C311" i="14"/>
  <c r="C312" i="14"/>
  <c r="C313" i="14"/>
  <c r="C314" i="14"/>
  <c r="C315" i="14"/>
  <c r="C316" i="14"/>
  <c r="C317" i="14"/>
  <c r="C318" i="14"/>
  <c r="C319" i="14"/>
  <c r="C320" i="14"/>
  <c r="C321" i="14"/>
  <c r="C322" i="14"/>
  <c r="C323" i="14"/>
  <c r="C324" i="14"/>
  <c r="C325" i="14"/>
  <c r="C326" i="14"/>
  <c r="C327" i="14"/>
  <c r="C328" i="14"/>
  <c r="C332" i="14"/>
  <c r="C333" i="14"/>
  <c r="C334" i="14"/>
  <c r="C335" i="14"/>
  <c r="C336" i="14"/>
  <c r="C337" i="14"/>
  <c r="C338" i="14"/>
  <c r="C339" i="14"/>
  <c r="C341" i="14"/>
  <c r="C342" i="14"/>
  <c r="C345" i="14"/>
  <c r="C346" i="14"/>
  <c r="C348" i="14"/>
  <c r="C349" i="14"/>
  <c r="C350" i="14"/>
  <c r="C351" i="14"/>
  <c r="C353" i="14"/>
  <c r="C354" i="14"/>
  <c r="C355" i="14"/>
  <c r="C356" i="14"/>
  <c r="C357" i="14"/>
  <c r="C358" i="14"/>
  <c r="C359" i="14"/>
  <c r="C360" i="14"/>
  <c r="C361" i="14"/>
  <c r="C362" i="14"/>
  <c r="C364" i="14"/>
  <c r="C365" i="14"/>
  <c r="C367" i="14"/>
  <c r="C368" i="14"/>
  <c r="C370" i="14"/>
  <c r="C371" i="14"/>
  <c r="C373" i="14"/>
  <c r="C374" i="14"/>
  <c r="C376" i="14"/>
  <c r="C377" i="14"/>
  <c r="C378" i="14"/>
  <c r="C379" i="14"/>
  <c r="C380" i="14"/>
  <c r="C381" i="14"/>
  <c r="C383" i="14"/>
  <c r="C384" i="14"/>
  <c r="C386" i="14"/>
  <c r="C387" i="14"/>
  <c r="C389" i="14"/>
  <c r="C390" i="14"/>
  <c r="C392" i="14"/>
  <c r="C393" i="14"/>
  <c r="C394" i="14"/>
  <c r="C395" i="14"/>
  <c r="C397" i="14"/>
  <c r="C398" i="14"/>
  <c r="C400" i="14"/>
  <c r="C401" i="14"/>
  <c r="C403" i="14"/>
  <c r="C404" i="14"/>
  <c r="C405" i="14"/>
  <c r="C406" i="14"/>
  <c r="C407" i="14"/>
  <c r="C408" i="14"/>
  <c r="C409" i="14"/>
  <c r="C410" i="14"/>
  <c r="C411" i="14"/>
  <c r="C412" i="14"/>
  <c r="C413" i="14"/>
  <c r="C414" i="14"/>
  <c r="C415" i="14"/>
  <c r="C416" i="14"/>
  <c r="C417" i="14"/>
  <c r="C418" i="14"/>
  <c r="C419" i="14"/>
  <c r="C420" i="14"/>
  <c r="C423" i="14"/>
  <c r="C424" i="14"/>
  <c r="C425" i="14"/>
  <c r="C426" i="14"/>
  <c r="C427" i="14"/>
  <c r="C428" i="14"/>
  <c r="C429" i="14"/>
  <c r="C430" i="14"/>
  <c r="C432" i="14"/>
  <c r="C433" i="14"/>
  <c r="C435" i="14"/>
  <c r="C436" i="14"/>
  <c r="C437" i="14"/>
  <c r="C438" i="14"/>
  <c r="C439" i="14"/>
  <c r="C440" i="14"/>
  <c r="C441" i="14"/>
  <c r="C442" i="14"/>
  <c r="C444" i="14"/>
  <c r="C445" i="14"/>
  <c r="C446" i="14"/>
  <c r="C447" i="14"/>
  <c r="C448" i="14"/>
  <c r="C449" i="14"/>
  <c r="C450" i="14"/>
  <c r="C451" i="14"/>
  <c r="C452" i="14"/>
  <c r="C453" i="14"/>
  <c r="C455" i="14"/>
  <c r="C456" i="14"/>
  <c r="C457" i="14"/>
  <c r="C458" i="14"/>
  <c r="C459" i="14"/>
  <c r="C460" i="14"/>
  <c r="C461" i="14"/>
  <c r="C462" i="14"/>
  <c r="C463" i="14"/>
  <c r="C464" i="14"/>
  <c r="C466" i="14"/>
  <c r="C467" i="14"/>
  <c r="C471" i="14"/>
  <c r="C472" i="14"/>
  <c r="C473" i="14"/>
  <c r="C474" i="14"/>
  <c r="C475" i="14"/>
  <c r="C476" i="14"/>
  <c r="C477" i="14"/>
  <c r="C478" i="14"/>
  <c r="C479" i="14"/>
  <c r="C480" i="14"/>
  <c r="C481" i="14"/>
  <c r="C482" i="14"/>
  <c r="C483" i="14"/>
  <c r="C484" i="14"/>
  <c r="C485" i="14"/>
  <c r="C486" i="14"/>
  <c r="C488" i="14"/>
  <c r="C489" i="14"/>
  <c r="C491" i="14"/>
  <c r="C492" i="14"/>
  <c r="C493" i="14"/>
  <c r="C494" i="14"/>
  <c r="C495" i="14"/>
  <c r="C496" i="14"/>
  <c r="C497" i="14"/>
  <c r="C498" i="14"/>
  <c r="C499" i="14"/>
  <c r="C500" i="14"/>
  <c r="C501" i="14"/>
  <c r="C502" i="14"/>
  <c r="C503" i="14"/>
  <c r="C504" i="14"/>
  <c r="C507" i="14"/>
  <c r="C508" i="14"/>
  <c r="C509" i="14"/>
  <c r="C510" i="14"/>
  <c r="C511" i="14"/>
  <c r="C512" i="14"/>
  <c r="C514" i="14"/>
  <c r="C515" i="14"/>
  <c r="C516" i="14"/>
  <c r="C517" i="14"/>
  <c r="C518" i="14"/>
  <c r="C519" i="14"/>
  <c r="C520" i="14"/>
  <c r="C521" i="14"/>
  <c r="C522" i="14"/>
  <c r="C523" i="14"/>
  <c r="C525" i="14"/>
  <c r="C526" i="14"/>
  <c r="C527" i="14"/>
  <c r="C528" i="14"/>
  <c r="C529" i="14"/>
  <c r="C530" i="14"/>
  <c r="C531" i="14"/>
  <c r="C532" i="14"/>
  <c r="C536" i="14"/>
  <c r="C537" i="14"/>
  <c r="C538" i="14"/>
  <c r="C539" i="14"/>
  <c r="C540" i="14"/>
  <c r="C541" i="14"/>
  <c r="C542" i="14"/>
  <c r="C543" i="14"/>
  <c r="C544" i="14"/>
  <c r="C545" i="14"/>
  <c r="C547" i="14"/>
  <c r="C548" i="14"/>
  <c r="C549" i="14"/>
  <c r="C550" i="14"/>
  <c r="C551" i="14"/>
  <c r="C552" i="14"/>
  <c r="C554" i="14"/>
  <c r="C555" i="14"/>
  <c r="C557" i="14"/>
  <c r="C558" i="14"/>
  <c r="C560" i="14"/>
  <c r="C561" i="14"/>
  <c r="C563" i="14"/>
  <c r="C564" i="14"/>
  <c r="C566" i="14"/>
  <c r="C567" i="14"/>
  <c r="C569" i="14"/>
  <c r="C570" i="14"/>
  <c r="C572" i="14"/>
  <c r="C573" i="14"/>
  <c r="C574" i="14"/>
  <c r="C576" i="14"/>
  <c r="C577" i="14"/>
  <c r="C578" i="14"/>
  <c r="C579" i="14"/>
  <c r="C581" i="14"/>
  <c r="C582" i="14"/>
  <c r="C584" i="14"/>
  <c r="C585" i="14"/>
  <c r="C586" i="14"/>
  <c r="C587" i="14"/>
  <c r="C589" i="14"/>
  <c r="C590" i="14"/>
  <c r="C592" i="14"/>
  <c r="C593" i="14"/>
  <c r="C594" i="14"/>
  <c r="C595" i="14"/>
  <c r="C596" i="14"/>
  <c r="C597" i="14"/>
  <c r="C599" i="14"/>
  <c r="C600" i="14"/>
  <c r="C601" i="14"/>
  <c r="C602" i="14"/>
  <c r="C603" i="14"/>
  <c r="C604" i="14"/>
  <c r="C605" i="14"/>
  <c r="C606" i="14"/>
  <c r="C608" i="14"/>
  <c r="C609" i="14"/>
  <c r="C610" i="14"/>
  <c r="C611" i="14"/>
  <c r="C612" i="14"/>
  <c r="C613" i="14"/>
  <c r="C614" i="14"/>
  <c r="C615" i="14"/>
  <c r="C616" i="14"/>
  <c r="C617" i="14"/>
  <c r="C618" i="14"/>
  <c r="C619" i="14"/>
  <c r="C621" i="14"/>
  <c r="C622" i="14"/>
  <c r="C623" i="14"/>
  <c r="C624" i="14"/>
  <c r="C625" i="14"/>
  <c r="C626" i="14"/>
  <c r="C627" i="14"/>
  <c r="C628" i="14"/>
  <c r="C629" i="14"/>
  <c r="C630" i="14"/>
  <c r="C631" i="14"/>
  <c r="C632" i="14"/>
  <c r="C634" i="14"/>
  <c r="C635" i="14"/>
  <c r="C636" i="14"/>
  <c r="C637" i="14"/>
  <c r="C638" i="14"/>
  <c r="C639" i="14"/>
  <c r="C640" i="14"/>
  <c r="C641" i="14"/>
  <c r="C642" i="14"/>
  <c r="C643" i="14"/>
  <c r="C645" i="14"/>
  <c r="C646" i="14"/>
  <c r="C647" i="14"/>
  <c r="C649" i="14"/>
  <c r="C650" i="14"/>
  <c r="C651" i="14"/>
  <c r="C652" i="14"/>
  <c r="C653" i="14"/>
  <c r="C654" i="14"/>
  <c r="C655" i="14"/>
  <c r="C656" i="14"/>
  <c r="C657" i="14"/>
  <c r="C658" i="14"/>
  <c r="C659" i="14"/>
  <c r="C660" i="14"/>
  <c r="C661" i="14"/>
  <c r="C662" i="14"/>
  <c r="C663" i="14"/>
  <c r="C664" i="14"/>
  <c r="C667" i="14"/>
  <c r="C668" i="14"/>
  <c r="C669" i="14"/>
  <c r="C670" i="14"/>
  <c r="C671" i="14"/>
  <c r="C672" i="14"/>
  <c r="C673" i="14"/>
  <c r="C674" i="14"/>
  <c r="C676" i="14"/>
  <c r="C677" i="14"/>
  <c r="C679" i="14"/>
  <c r="C680" i="14"/>
  <c r="C682" i="14"/>
  <c r="C683" i="14"/>
  <c r="C684" i="14"/>
  <c r="C685" i="14"/>
  <c r="C686" i="14"/>
  <c r="C687" i="14"/>
  <c r="C688" i="14"/>
  <c r="C689" i="14"/>
  <c r="C690" i="14"/>
  <c r="C691" i="14"/>
  <c r="C693" i="14"/>
  <c r="C694" i="14"/>
  <c r="C695" i="14"/>
  <c r="C696" i="14"/>
  <c r="C697" i="14"/>
  <c r="C698" i="14"/>
  <c r="C700" i="14"/>
  <c r="C701" i="14"/>
  <c r="C702" i="14"/>
  <c r="C703" i="14"/>
  <c r="C705" i="14"/>
  <c r="C706" i="14"/>
  <c r="C707" i="14"/>
  <c r="C708" i="14"/>
  <c r="C710" i="14"/>
  <c r="C711" i="14"/>
  <c r="C712" i="14"/>
  <c r="C713" i="14"/>
  <c r="C715" i="14"/>
  <c r="C716" i="14"/>
  <c r="C717" i="14"/>
  <c r="C718" i="14"/>
  <c r="C720" i="14"/>
  <c r="C721" i="14"/>
  <c r="C723" i="14"/>
  <c r="C724" i="14"/>
  <c r="C725" i="14"/>
  <c r="C726" i="14"/>
  <c r="C727" i="14"/>
  <c r="C728" i="14"/>
  <c r="C731" i="14"/>
  <c r="C732" i="14"/>
  <c r="C734" i="14"/>
  <c r="C735" i="14"/>
  <c r="C737" i="14"/>
  <c r="C738" i="14"/>
  <c r="C740" i="14"/>
  <c r="C741" i="14"/>
  <c r="C743" i="14"/>
  <c r="C744" i="14"/>
  <c r="C746" i="14"/>
  <c r="C747" i="14"/>
  <c r="C749" i="14"/>
  <c r="C750" i="14"/>
  <c r="C752" i="14"/>
  <c r="C753" i="14"/>
  <c r="C754" i="14"/>
  <c r="C755" i="14"/>
  <c r="C756" i="14"/>
  <c r="C757" i="14"/>
  <c r="C758" i="14"/>
  <c r="C759" i="14"/>
  <c r="C760" i="14"/>
  <c r="C761" i="14"/>
  <c r="C763" i="14"/>
  <c r="C764" i="14"/>
  <c r="C765" i="14"/>
  <c r="C766" i="14"/>
  <c r="C768" i="14"/>
  <c r="C769" i="14"/>
  <c r="C770" i="14"/>
  <c r="C771" i="14"/>
  <c r="C772" i="14"/>
  <c r="C773" i="14"/>
  <c r="C774" i="14"/>
  <c r="C775" i="14"/>
  <c r="C776" i="14"/>
  <c r="C777" i="14"/>
  <c r="C779" i="14"/>
  <c r="C780" i="14"/>
  <c r="C781" i="14"/>
  <c r="C782" i="14"/>
  <c r="C783" i="14"/>
  <c r="C784" i="14"/>
  <c r="C785" i="14"/>
  <c r="C786" i="14"/>
  <c r="C788" i="14"/>
  <c r="C789" i="14"/>
  <c r="C790" i="14"/>
  <c r="C791" i="14"/>
  <c r="C792" i="14"/>
  <c r="C793" i="14"/>
  <c r="C794" i="14"/>
  <c r="C795" i="14"/>
  <c r="C797" i="14"/>
  <c r="C798" i="14"/>
  <c r="C799" i="14"/>
  <c r="C800" i="14"/>
  <c r="C801" i="14"/>
  <c r="C802" i="14"/>
  <c r="C803" i="14"/>
  <c r="C804" i="14"/>
  <c r="C805" i="14"/>
  <c r="C806" i="14"/>
  <c r="C807" i="14"/>
  <c r="C808" i="14"/>
  <c r="C809" i="14"/>
  <c r="C810" i="14"/>
  <c r="C812" i="14"/>
  <c r="C813" i="14"/>
  <c r="C814" i="14"/>
  <c r="C815" i="14"/>
  <c r="C816" i="14"/>
  <c r="C817" i="14"/>
  <c r="C818" i="14"/>
  <c r="C819" i="14"/>
  <c r="C822" i="14"/>
  <c r="C823" i="14"/>
  <c r="C824" i="14"/>
  <c r="C825" i="14"/>
  <c r="C826" i="14"/>
  <c r="C827" i="14"/>
  <c r="C828" i="14"/>
  <c r="C829" i="14"/>
  <c r="C830" i="14"/>
  <c r="C831" i="14"/>
  <c r="C833" i="14"/>
  <c r="C834" i="14"/>
  <c r="C835" i="14"/>
  <c r="C836" i="14"/>
  <c r="C837" i="14"/>
  <c r="C838" i="14"/>
  <c r="C840" i="14"/>
  <c r="C841" i="14"/>
  <c r="C842" i="14"/>
  <c r="C843" i="14"/>
  <c r="C845" i="14"/>
  <c r="C846" i="14"/>
  <c r="C847" i="14"/>
  <c r="C848" i="14"/>
  <c r="C849" i="14"/>
  <c r="C850" i="14"/>
  <c r="C851" i="14"/>
  <c r="C852" i="14"/>
  <c r="C854" i="14"/>
  <c r="C855" i="14"/>
  <c r="C856" i="14"/>
  <c r="C857" i="14"/>
  <c r="C859" i="14"/>
  <c r="C860" i="14"/>
  <c r="C861" i="14"/>
  <c r="C862" i="14"/>
  <c r="C863" i="14"/>
  <c r="C864" i="14"/>
  <c r="C866" i="14"/>
  <c r="C867" i="14"/>
  <c r="C869" i="14"/>
  <c r="C870" i="14"/>
  <c r="C871" i="14"/>
  <c r="C874" i="14"/>
  <c r="C875" i="14"/>
  <c r="C877" i="14"/>
  <c r="C878" i="14"/>
  <c r="C879" i="14"/>
  <c r="C880" i="14"/>
  <c r="C882" i="14"/>
  <c r="C883" i="14"/>
  <c r="C885" i="14"/>
  <c r="C886" i="14"/>
  <c r="C888" i="14"/>
  <c r="C889" i="14"/>
  <c r="C891" i="14"/>
  <c r="C892" i="14"/>
  <c r="C894" i="14"/>
  <c r="C895" i="14"/>
  <c r="C897" i="14"/>
  <c r="C898" i="14"/>
  <c r="C900" i="14"/>
  <c r="C901" i="14"/>
  <c r="C903" i="14"/>
  <c r="C904" i="14"/>
  <c r="C906" i="14"/>
  <c r="C907" i="14"/>
  <c r="C908" i="14"/>
  <c r="C909" i="14"/>
  <c r="C911" i="14"/>
  <c r="C912" i="14"/>
  <c r="C914" i="14"/>
  <c r="C915" i="14"/>
  <c r="C916" i="14"/>
  <c r="C917" i="14"/>
  <c r="C918" i="14"/>
  <c r="C919" i="14"/>
  <c r="C920" i="14"/>
  <c r="C921" i="14"/>
  <c r="C923" i="14"/>
  <c r="C924" i="14"/>
  <c r="C925" i="14"/>
  <c r="C926" i="14"/>
  <c r="C927" i="14"/>
  <c r="C928" i="14"/>
  <c r="C929" i="14"/>
  <c r="C930" i="14"/>
  <c r="C931" i="14"/>
  <c r="C932" i="14"/>
  <c r="C933" i="14"/>
  <c r="C934" i="14"/>
  <c r="C936" i="14"/>
  <c r="C937" i="14"/>
  <c r="C939" i="14"/>
  <c r="C940" i="14"/>
  <c r="C942" i="14"/>
  <c r="C943" i="14"/>
  <c r="C944" i="14"/>
  <c r="C945" i="14"/>
  <c r="C946" i="14"/>
  <c r="C947" i="14"/>
  <c r="C948" i="14"/>
  <c r="C949" i="14"/>
  <c r="C951" i="14"/>
  <c r="C952" i="14"/>
  <c r="C953" i="14"/>
  <c r="C954" i="14"/>
  <c r="C955" i="14"/>
  <c r="C956" i="14"/>
  <c r="C957" i="14"/>
  <c r="C958" i="14"/>
  <c r="C959" i="14"/>
  <c r="C960" i="14"/>
  <c r="C961" i="14"/>
  <c r="C962" i="14"/>
  <c r="C963" i="14"/>
  <c r="C964" i="14"/>
  <c r="C965" i="14"/>
  <c r="C967" i="14"/>
  <c r="C968" i="14"/>
  <c r="C969" i="14"/>
  <c r="C970" i="14"/>
  <c r="C971" i="14"/>
  <c r="C972" i="14"/>
  <c r="C973" i="14"/>
  <c r="C974" i="14"/>
  <c r="C975" i="14"/>
  <c r="C976" i="14"/>
  <c r="C977" i="14"/>
  <c r="C978" i="14"/>
  <c r="C979" i="14"/>
  <c r="C980" i="14"/>
  <c r="C982" i="14"/>
  <c r="C983" i="14"/>
  <c r="C984" i="14"/>
  <c r="C985" i="14"/>
  <c r="C987" i="14"/>
  <c r="C988" i="14"/>
  <c r="C989" i="14"/>
  <c r="C990" i="14"/>
  <c r="C991" i="14"/>
  <c r="C992" i="14"/>
  <c r="C993" i="14"/>
  <c r="C994" i="14"/>
  <c r="C994" i="20" l="1"/>
  <c r="C993" i="20"/>
  <c r="C992" i="20"/>
  <c r="C991" i="20"/>
  <c r="C990" i="20"/>
  <c r="C989" i="20"/>
  <c r="C988" i="20"/>
  <c r="C987" i="20"/>
  <c r="G985" i="20"/>
  <c r="C985" i="20"/>
  <c r="G984" i="20"/>
  <c r="C984" i="20"/>
  <c r="G983" i="20"/>
  <c r="C983" i="20"/>
  <c r="G982" i="20"/>
  <c r="C982" i="20"/>
  <c r="G980" i="20"/>
  <c r="C980" i="20"/>
  <c r="G979" i="20"/>
  <c r="C979" i="20"/>
  <c r="G978" i="20"/>
  <c r="C978" i="20"/>
  <c r="G977" i="20"/>
  <c r="C977" i="20"/>
  <c r="G976" i="20"/>
  <c r="C976" i="20"/>
  <c r="G975" i="20"/>
  <c r="C975" i="20"/>
  <c r="G974" i="20"/>
  <c r="C974" i="20"/>
  <c r="G973" i="20"/>
  <c r="C973" i="20"/>
  <c r="G972" i="20"/>
  <c r="C972" i="20"/>
  <c r="G971" i="20"/>
  <c r="C971" i="20"/>
  <c r="G970" i="20"/>
  <c r="C970" i="20"/>
  <c r="G969" i="20"/>
  <c r="C969" i="20"/>
  <c r="G968" i="20"/>
  <c r="C968" i="20"/>
  <c r="G967" i="20"/>
  <c r="C967" i="20"/>
  <c r="G965" i="20"/>
  <c r="C965" i="20"/>
  <c r="G964" i="20"/>
  <c r="C964" i="20"/>
  <c r="G963" i="20"/>
  <c r="C963" i="20"/>
  <c r="G962" i="20"/>
  <c r="C962" i="20"/>
  <c r="G961" i="20"/>
  <c r="C961" i="20"/>
  <c r="G960" i="20"/>
  <c r="C960" i="20"/>
  <c r="G959" i="20"/>
  <c r="C959" i="20"/>
  <c r="G958" i="20"/>
  <c r="C958" i="20"/>
  <c r="G957" i="20"/>
  <c r="C957" i="20"/>
  <c r="G956" i="20"/>
  <c r="C956" i="20"/>
  <c r="G955" i="20"/>
  <c r="C955" i="20"/>
  <c r="G954" i="20"/>
  <c r="C954" i="20"/>
  <c r="G953" i="20"/>
  <c r="C953" i="20"/>
  <c r="G952" i="20"/>
  <c r="C952" i="20"/>
  <c r="G951" i="20"/>
  <c r="C951" i="20"/>
  <c r="G949" i="20"/>
  <c r="C949" i="20"/>
  <c r="G948" i="20"/>
  <c r="C948" i="20"/>
  <c r="G947" i="20"/>
  <c r="C947" i="20"/>
  <c r="G946" i="20"/>
  <c r="C946" i="20"/>
  <c r="G945" i="20"/>
  <c r="C945" i="20"/>
  <c r="G944" i="20"/>
  <c r="C944" i="20"/>
  <c r="G943" i="20"/>
  <c r="C943" i="20"/>
  <c r="G942" i="20"/>
  <c r="C942" i="20"/>
  <c r="G940" i="20"/>
  <c r="C940" i="20"/>
  <c r="G939" i="20"/>
  <c r="C939" i="20"/>
  <c r="G937" i="20"/>
  <c r="C937" i="20"/>
  <c r="G936" i="20"/>
  <c r="C936" i="20"/>
  <c r="G934" i="20"/>
  <c r="C934" i="20"/>
  <c r="G933" i="20"/>
  <c r="C933" i="20"/>
  <c r="G932" i="20"/>
  <c r="C932" i="20"/>
  <c r="G931" i="20"/>
  <c r="C931" i="20"/>
  <c r="G930" i="20"/>
  <c r="C930" i="20"/>
  <c r="G929" i="20"/>
  <c r="C929" i="20"/>
  <c r="G928" i="20"/>
  <c r="C928" i="20"/>
  <c r="G927" i="20"/>
  <c r="C927" i="20"/>
  <c r="G926" i="20"/>
  <c r="C926" i="20"/>
  <c r="G925" i="20"/>
  <c r="C925" i="20"/>
  <c r="G924" i="20"/>
  <c r="C924" i="20"/>
  <c r="G923" i="20"/>
  <c r="C923" i="20"/>
  <c r="G921" i="20"/>
  <c r="C921" i="20"/>
  <c r="G920" i="20"/>
  <c r="C920" i="20"/>
  <c r="G919" i="20"/>
  <c r="C919" i="20"/>
  <c r="G918" i="20"/>
  <c r="C918" i="20"/>
  <c r="G917" i="20"/>
  <c r="C917" i="20"/>
  <c r="G916" i="20"/>
  <c r="C916" i="20"/>
  <c r="G915" i="20"/>
  <c r="C915" i="20"/>
  <c r="G914" i="20"/>
  <c r="C914" i="20"/>
  <c r="G912" i="20"/>
  <c r="C912" i="20"/>
  <c r="G911" i="20"/>
  <c r="C911" i="20"/>
  <c r="G909" i="20"/>
  <c r="C909" i="20"/>
  <c r="G908" i="20"/>
  <c r="C908" i="20"/>
  <c r="G907" i="20"/>
  <c r="C907" i="20"/>
  <c r="G906" i="20"/>
  <c r="C906" i="20"/>
  <c r="G904" i="20"/>
  <c r="C904" i="20"/>
  <c r="G903" i="20"/>
  <c r="C903" i="20"/>
  <c r="G901" i="20"/>
  <c r="C901" i="20"/>
  <c r="G900" i="20"/>
  <c r="C900" i="20"/>
  <c r="C898" i="20"/>
  <c r="C897" i="20"/>
  <c r="C895" i="20"/>
  <c r="C894" i="20"/>
  <c r="C892" i="20"/>
  <c r="C891" i="20"/>
  <c r="C889" i="20"/>
  <c r="C888" i="20"/>
  <c r="C886" i="20"/>
  <c r="C885" i="20"/>
  <c r="C883" i="20"/>
  <c r="C882" i="20"/>
  <c r="G880" i="20"/>
  <c r="C880" i="20"/>
  <c r="G879" i="20"/>
  <c r="C879" i="20"/>
  <c r="G878" i="20"/>
  <c r="C878" i="20"/>
  <c r="G877" i="20"/>
  <c r="C877" i="20"/>
  <c r="G875" i="20"/>
  <c r="C875" i="20"/>
  <c r="G874" i="20"/>
  <c r="C874" i="20"/>
  <c r="C871" i="20"/>
  <c r="C870" i="20"/>
  <c r="C869" i="20"/>
  <c r="G867" i="20"/>
  <c r="C867" i="20"/>
  <c r="G866" i="20"/>
  <c r="C866" i="20"/>
  <c r="G864" i="20"/>
  <c r="C864" i="20"/>
  <c r="G863" i="20"/>
  <c r="C863" i="20"/>
  <c r="G862" i="20"/>
  <c r="C862" i="20"/>
  <c r="G861" i="20"/>
  <c r="C861" i="20"/>
  <c r="G860" i="20"/>
  <c r="C860" i="20"/>
  <c r="G859" i="20"/>
  <c r="C859" i="20"/>
  <c r="G857" i="20"/>
  <c r="C857" i="20"/>
  <c r="G856" i="20"/>
  <c r="C856" i="20"/>
  <c r="G855" i="20"/>
  <c r="C855" i="20"/>
  <c r="G854" i="20"/>
  <c r="C854" i="20"/>
  <c r="C852" i="20"/>
  <c r="C851" i="20"/>
  <c r="C850" i="20"/>
  <c r="C849" i="20"/>
  <c r="G848" i="20"/>
  <c r="C848" i="20"/>
  <c r="G847" i="20"/>
  <c r="C847" i="20"/>
  <c r="G846" i="20"/>
  <c r="C846" i="20"/>
  <c r="G845" i="20"/>
  <c r="C845" i="20"/>
  <c r="G843" i="20"/>
  <c r="C843" i="20"/>
  <c r="G842" i="20"/>
  <c r="C842" i="20"/>
  <c r="G841" i="20"/>
  <c r="C841" i="20"/>
  <c r="G840" i="20"/>
  <c r="C840" i="20"/>
  <c r="G838" i="20"/>
  <c r="C838" i="20"/>
  <c r="G837" i="20"/>
  <c r="C837" i="20"/>
  <c r="G836" i="20"/>
  <c r="C836" i="20"/>
  <c r="G835" i="20"/>
  <c r="C835" i="20"/>
  <c r="G834" i="20"/>
  <c r="C834" i="20"/>
  <c r="G833" i="20"/>
  <c r="C833" i="20"/>
  <c r="C831" i="20"/>
  <c r="C830" i="20"/>
  <c r="C829" i="20"/>
  <c r="C828" i="20"/>
  <c r="C827" i="20"/>
  <c r="G826" i="20"/>
  <c r="C826" i="20"/>
  <c r="G825" i="20"/>
  <c r="C825" i="20"/>
  <c r="G824" i="20"/>
  <c r="C824" i="20"/>
  <c r="G823" i="20"/>
  <c r="C823" i="20"/>
  <c r="G822" i="20"/>
  <c r="C822" i="20"/>
  <c r="C819" i="20"/>
  <c r="C818" i="20"/>
  <c r="C817" i="20"/>
  <c r="C816" i="20"/>
  <c r="C815" i="20"/>
  <c r="C814" i="20"/>
  <c r="C813" i="20"/>
  <c r="C812" i="20"/>
  <c r="G810" i="20"/>
  <c r="C810" i="20"/>
  <c r="G809" i="20"/>
  <c r="C809" i="20"/>
  <c r="G808" i="20"/>
  <c r="C808" i="20"/>
  <c r="G807" i="20"/>
  <c r="C807" i="20"/>
  <c r="G806" i="20"/>
  <c r="C806" i="20"/>
  <c r="G805" i="20"/>
  <c r="C805" i="20"/>
  <c r="G804" i="20"/>
  <c r="C804" i="20"/>
  <c r="G803" i="20"/>
  <c r="C803" i="20"/>
  <c r="G802" i="20"/>
  <c r="C802" i="20"/>
  <c r="G801" i="20"/>
  <c r="C801" i="20"/>
  <c r="G800" i="20"/>
  <c r="C800" i="20"/>
  <c r="G799" i="20"/>
  <c r="C799" i="20"/>
  <c r="G798" i="20"/>
  <c r="C798" i="20"/>
  <c r="G797" i="20"/>
  <c r="C797" i="20"/>
  <c r="G795" i="20"/>
  <c r="C795" i="20"/>
  <c r="G794" i="20"/>
  <c r="C794" i="20"/>
  <c r="G793" i="20"/>
  <c r="C793" i="20"/>
  <c r="G792" i="20"/>
  <c r="C792" i="20"/>
  <c r="G791" i="20"/>
  <c r="C791" i="20"/>
  <c r="G790" i="20"/>
  <c r="C790" i="20"/>
  <c r="G789" i="20"/>
  <c r="C789" i="20"/>
  <c r="G788" i="20"/>
  <c r="C788" i="20"/>
  <c r="G786" i="20"/>
  <c r="C786" i="20"/>
  <c r="G785" i="20"/>
  <c r="C785" i="20"/>
  <c r="G784" i="20"/>
  <c r="C784" i="20"/>
  <c r="G783" i="20"/>
  <c r="C783" i="20"/>
  <c r="G782" i="20"/>
  <c r="C782" i="20"/>
  <c r="G781" i="20"/>
  <c r="C781" i="20"/>
  <c r="G780" i="20"/>
  <c r="C780" i="20"/>
  <c r="G779" i="20"/>
  <c r="C779" i="20"/>
  <c r="G777" i="20"/>
  <c r="C777" i="20"/>
  <c r="G776" i="20"/>
  <c r="C776" i="20"/>
  <c r="G775" i="20"/>
  <c r="C775" i="20"/>
  <c r="G774" i="20"/>
  <c r="C774" i="20"/>
  <c r="G773" i="20"/>
  <c r="C773" i="20"/>
  <c r="G772" i="20"/>
  <c r="C772" i="20"/>
  <c r="G771" i="20"/>
  <c r="C771" i="20"/>
  <c r="G770" i="20"/>
  <c r="C770" i="20"/>
  <c r="G769" i="20"/>
  <c r="C769" i="20"/>
  <c r="G768" i="20"/>
  <c r="C768" i="20"/>
  <c r="G766" i="20"/>
  <c r="C766" i="20"/>
  <c r="G765" i="20"/>
  <c r="C765" i="20"/>
  <c r="G764" i="20"/>
  <c r="C764" i="20"/>
  <c r="G763" i="20"/>
  <c r="C763" i="20"/>
  <c r="G761" i="20"/>
  <c r="C761" i="20"/>
  <c r="G760" i="20"/>
  <c r="C760" i="20"/>
  <c r="G759" i="20"/>
  <c r="C759" i="20"/>
  <c r="G758" i="20"/>
  <c r="C758" i="20"/>
  <c r="G757" i="20"/>
  <c r="C757" i="20"/>
  <c r="G756" i="20"/>
  <c r="C756" i="20"/>
  <c r="G755" i="20"/>
  <c r="C755" i="20"/>
  <c r="G754" i="20"/>
  <c r="C754" i="20"/>
  <c r="G753" i="20"/>
  <c r="C753" i="20"/>
  <c r="G752" i="20"/>
  <c r="C752" i="20"/>
  <c r="G750" i="20"/>
  <c r="C750" i="20"/>
  <c r="G749" i="20"/>
  <c r="C749" i="20"/>
  <c r="G747" i="20"/>
  <c r="C747" i="20"/>
  <c r="G746" i="20"/>
  <c r="C746" i="20"/>
  <c r="G744" i="20"/>
  <c r="C744" i="20"/>
  <c r="G743" i="20"/>
  <c r="C743" i="20"/>
  <c r="C741" i="20"/>
  <c r="C740" i="20"/>
  <c r="C738" i="20"/>
  <c r="C737" i="20"/>
  <c r="C735" i="20"/>
  <c r="C734" i="20"/>
  <c r="C732" i="20"/>
  <c r="C731" i="20"/>
  <c r="G728" i="20"/>
  <c r="C728" i="20"/>
  <c r="G727" i="20"/>
  <c r="C727" i="20"/>
  <c r="G726" i="20"/>
  <c r="C726" i="20"/>
  <c r="G725" i="20"/>
  <c r="C725" i="20"/>
  <c r="G724" i="20"/>
  <c r="C724" i="20"/>
  <c r="G723" i="20"/>
  <c r="C723" i="20"/>
  <c r="G721" i="20"/>
  <c r="C721" i="20"/>
  <c r="G720" i="20"/>
  <c r="C720" i="20"/>
  <c r="G718" i="20"/>
  <c r="C718" i="20"/>
  <c r="G717" i="20"/>
  <c r="C717" i="20"/>
  <c r="G716" i="20"/>
  <c r="C716" i="20"/>
  <c r="G715" i="20"/>
  <c r="C715" i="20"/>
  <c r="G713" i="20"/>
  <c r="C713" i="20"/>
  <c r="G712" i="20"/>
  <c r="C712" i="20"/>
  <c r="G711" i="20"/>
  <c r="C711" i="20"/>
  <c r="G710" i="20"/>
  <c r="C710" i="20"/>
  <c r="G708" i="20"/>
  <c r="C708" i="20"/>
  <c r="G707" i="20"/>
  <c r="C707" i="20"/>
  <c r="G706" i="20"/>
  <c r="C706" i="20"/>
  <c r="G705" i="20"/>
  <c r="C705" i="20"/>
  <c r="G703" i="20"/>
  <c r="C703" i="20"/>
  <c r="G702" i="20"/>
  <c r="C702" i="20"/>
  <c r="G701" i="20"/>
  <c r="C701" i="20"/>
  <c r="G700" i="20"/>
  <c r="C700" i="20"/>
  <c r="G698" i="20"/>
  <c r="C698" i="20"/>
  <c r="G697" i="20"/>
  <c r="C697" i="20"/>
  <c r="G696" i="20"/>
  <c r="C696" i="20"/>
  <c r="G695" i="20"/>
  <c r="C695" i="20"/>
  <c r="G694" i="20"/>
  <c r="C694" i="20"/>
  <c r="G693" i="20"/>
  <c r="C693" i="20"/>
  <c r="G691" i="20"/>
  <c r="C691" i="20"/>
  <c r="G690" i="20"/>
  <c r="C690" i="20"/>
  <c r="G689" i="20"/>
  <c r="C689" i="20"/>
  <c r="G688" i="20"/>
  <c r="C688" i="20"/>
  <c r="G687" i="20"/>
  <c r="C687" i="20"/>
  <c r="G686" i="20"/>
  <c r="C686" i="20"/>
  <c r="G685" i="20"/>
  <c r="C685" i="20"/>
  <c r="G684" i="20"/>
  <c r="C684" i="20"/>
  <c r="G683" i="20"/>
  <c r="C683" i="20"/>
  <c r="G682" i="20"/>
  <c r="C682" i="20"/>
  <c r="C680" i="20"/>
  <c r="C679" i="20"/>
  <c r="C677" i="20"/>
  <c r="C676" i="20"/>
  <c r="G674" i="20"/>
  <c r="C674" i="20"/>
  <c r="G673" i="20"/>
  <c r="C673" i="20"/>
  <c r="G672" i="20"/>
  <c r="C672" i="20"/>
  <c r="G671" i="20"/>
  <c r="C671" i="20"/>
  <c r="G670" i="20"/>
  <c r="C670" i="20"/>
  <c r="G669" i="20"/>
  <c r="C669" i="20"/>
  <c r="G668" i="20"/>
  <c r="C668" i="20"/>
  <c r="G667" i="20"/>
  <c r="C667" i="20"/>
  <c r="G664" i="20"/>
  <c r="C664" i="20"/>
  <c r="G663" i="20"/>
  <c r="C663" i="20"/>
  <c r="G662" i="20"/>
  <c r="C662" i="20"/>
  <c r="G661" i="20"/>
  <c r="C661" i="20"/>
  <c r="G660" i="20"/>
  <c r="C660" i="20"/>
  <c r="G659" i="20"/>
  <c r="C659" i="20"/>
  <c r="G658" i="20"/>
  <c r="C658" i="20"/>
  <c r="G657" i="20"/>
  <c r="C657" i="20"/>
  <c r="G656" i="20"/>
  <c r="C656" i="20"/>
  <c r="G655" i="20"/>
  <c r="C655" i="20"/>
  <c r="G654" i="20"/>
  <c r="C654" i="20"/>
  <c r="G653" i="20"/>
  <c r="C653" i="20"/>
  <c r="G652" i="20"/>
  <c r="C652" i="20"/>
  <c r="G651" i="20"/>
  <c r="C651" i="20"/>
  <c r="G650" i="20"/>
  <c r="C650" i="20"/>
  <c r="G649" i="20"/>
  <c r="C649" i="20"/>
  <c r="C647" i="20"/>
  <c r="I646" i="20"/>
  <c r="C646" i="20"/>
  <c r="C645" i="20"/>
  <c r="C643" i="20"/>
  <c r="C642" i="20"/>
  <c r="C641" i="20"/>
  <c r="C640" i="20"/>
  <c r="C639" i="20"/>
  <c r="C638" i="20"/>
  <c r="C637" i="20"/>
  <c r="C636" i="20"/>
  <c r="C635" i="20"/>
  <c r="C634" i="20"/>
  <c r="G632" i="20"/>
  <c r="C632" i="20"/>
  <c r="G631" i="20"/>
  <c r="C631" i="20"/>
  <c r="G630" i="20"/>
  <c r="C630" i="20"/>
  <c r="G629" i="20"/>
  <c r="C629" i="20"/>
  <c r="G628" i="20"/>
  <c r="C628" i="20"/>
  <c r="G627" i="20"/>
  <c r="C627" i="20"/>
  <c r="G626" i="20"/>
  <c r="C626" i="20"/>
  <c r="G625" i="20"/>
  <c r="C625" i="20"/>
  <c r="G624" i="20"/>
  <c r="C624" i="20"/>
  <c r="G623" i="20"/>
  <c r="C623" i="20"/>
  <c r="G622" i="20"/>
  <c r="C622" i="20"/>
  <c r="G621" i="20"/>
  <c r="C621" i="20"/>
  <c r="G619" i="20"/>
  <c r="C619" i="20"/>
  <c r="G618" i="20"/>
  <c r="C618" i="20"/>
  <c r="G617" i="20"/>
  <c r="C617" i="20"/>
  <c r="G616" i="20"/>
  <c r="C616" i="20"/>
  <c r="G615" i="20"/>
  <c r="C615" i="20"/>
  <c r="G614" i="20"/>
  <c r="C614" i="20"/>
  <c r="G613" i="20"/>
  <c r="C613" i="20"/>
  <c r="G612" i="20"/>
  <c r="C612" i="20"/>
  <c r="G611" i="20"/>
  <c r="C611" i="20"/>
  <c r="G610" i="20"/>
  <c r="C610" i="20"/>
  <c r="G609" i="20"/>
  <c r="C609" i="20"/>
  <c r="G608" i="20"/>
  <c r="C608" i="20"/>
  <c r="G606" i="20"/>
  <c r="C606" i="20"/>
  <c r="G605" i="20"/>
  <c r="C605" i="20"/>
  <c r="G604" i="20"/>
  <c r="C604" i="20"/>
  <c r="G603" i="20"/>
  <c r="C603" i="20"/>
  <c r="G602" i="20"/>
  <c r="C602" i="20"/>
  <c r="G601" i="20"/>
  <c r="C601" i="20"/>
  <c r="G600" i="20"/>
  <c r="C600" i="20"/>
  <c r="G599" i="20"/>
  <c r="C599" i="20"/>
  <c r="G597" i="20"/>
  <c r="C597" i="20"/>
  <c r="G596" i="20"/>
  <c r="C596" i="20"/>
  <c r="G595" i="20"/>
  <c r="C595" i="20"/>
  <c r="G594" i="20"/>
  <c r="C594" i="20"/>
  <c r="G593" i="20"/>
  <c r="C593" i="20"/>
  <c r="G592" i="20"/>
  <c r="C592" i="20"/>
  <c r="G590" i="20"/>
  <c r="C590" i="20"/>
  <c r="G589" i="20"/>
  <c r="C589" i="20"/>
  <c r="G587" i="20"/>
  <c r="C587" i="20"/>
  <c r="G586" i="20"/>
  <c r="C586" i="20"/>
  <c r="G585" i="20"/>
  <c r="C585" i="20"/>
  <c r="G584" i="20"/>
  <c r="C584" i="20"/>
  <c r="G582" i="20"/>
  <c r="C582" i="20"/>
  <c r="G581" i="20"/>
  <c r="C581" i="20"/>
  <c r="G579" i="20"/>
  <c r="C579" i="20"/>
  <c r="G578" i="20"/>
  <c r="C578" i="20"/>
  <c r="G577" i="20"/>
  <c r="C577" i="20"/>
  <c r="G576" i="20"/>
  <c r="C576" i="20"/>
  <c r="C574" i="20"/>
  <c r="C573" i="20"/>
  <c r="C572" i="20"/>
  <c r="C570" i="20"/>
  <c r="C569" i="20"/>
  <c r="C567" i="20"/>
  <c r="C566" i="20"/>
  <c r="C564" i="20"/>
  <c r="C563" i="20"/>
  <c r="C561" i="20"/>
  <c r="C560" i="20"/>
  <c r="C558" i="20"/>
  <c r="C557" i="20"/>
  <c r="C555" i="20"/>
  <c r="C554" i="20"/>
  <c r="G552" i="20"/>
  <c r="C552" i="20"/>
  <c r="G551" i="20"/>
  <c r="C551" i="20"/>
  <c r="G550" i="20"/>
  <c r="C550" i="20"/>
  <c r="G549" i="20"/>
  <c r="C549" i="20"/>
  <c r="G548" i="20"/>
  <c r="C548" i="20"/>
  <c r="G547" i="20"/>
  <c r="C547" i="20"/>
  <c r="G545" i="20"/>
  <c r="C545" i="20"/>
  <c r="G544" i="20"/>
  <c r="C544" i="20"/>
  <c r="G543" i="20"/>
  <c r="C543" i="20"/>
  <c r="G542" i="20"/>
  <c r="C542" i="20"/>
  <c r="G541" i="20"/>
  <c r="C541" i="20"/>
  <c r="G540" i="20"/>
  <c r="C540" i="20"/>
  <c r="G539" i="20"/>
  <c r="C539" i="20"/>
  <c r="G538" i="20"/>
  <c r="C538" i="20"/>
  <c r="G537" i="20"/>
  <c r="C537" i="20"/>
  <c r="G536" i="20"/>
  <c r="C536" i="20"/>
  <c r="G532" i="20"/>
  <c r="C532" i="20"/>
  <c r="G531" i="20"/>
  <c r="C531" i="20"/>
  <c r="G530" i="20"/>
  <c r="C530" i="20"/>
  <c r="G529" i="20"/>
  <c r="C529" i="20"/>
  <c r="G528" i="20"/>
  <c r="C528" i="20"/>
  <c r="G527" i="20"/>
  <c r="C527" i="20"/>
  <c r="G526" i="20"/>
  <c r="C526" i="20"/>
  <c r="G525" i="20"/>
  <c r="C525" i="20"/>
  <c r="G523" i="20"/>
  <c r="C523" i="20"/>
  <c r="G522" i="20"/>
  <c r="C522" i="20"/>
  <c r="G521" i="20"/>
  <c r="C521" i="20"/>
  <c r="G520" i="20"/>
  <c r="C520" i="20"/>
  <c r="G519" i="20"/>
  <c r="C519" i="20"/>
  <c r="G518" i="20"/>
  <c r="C518" i="20"/>
  <c r="G517" i="20"/>
  <c r="C517" i="20"/>
  <c r="G516" i="20"/>
  <c r="C516" i="20"/>
  <c r="G515" i="20"/>
  <c r="C515" i="20"/>
  <c r="G514" i="20"/>
  <c r="C514" i="20"/>
  <c r="G512" i="20"/>
  <c r="C512" i="20"/>
  <c r="G511" i="20"/>
  <c r="C511" i="20"/>
  <c r="G510" i="20"/>
  <c r="C510" i="20"/>
  <c r="G509" i="20"/>
  <c r="C509" i="20"/>
  <c r="G508" i="20"/>
  <c r="C508" i="20"/>
  <c r="G507" i="20"/>
  <c r="C507" i="20"/>
  <c r="G504" i="20"/>
  <c r="C504" i="20"/>
  <c r="G503" i="20"/>
  <c r="C503" i="20"/>
  <c r="G502" i="20"/>
  <c r="C502" i="20"/>
  <c r="G501" i="20"/>
  <c r="C501" i="20"/>
  <c r="G500" i="20"/>
  <c r="C500" i="20"/>
  <c r="G499" i="20"/>
  <c r="C499" i="20"/>
  <c r="G498" i="20"/>
  <c r="C498" i="20"/>
  <c r="G497" i="20"/>
  <c r="C497" i="20"/>
  <c r="G496" i="20"/>
  <c r="C496" i="20"/>
  <c r="G495" i="20"/>
  <c r="C495" i="20"/>
  <c r="G494" i="20"/>
  <c r="C494" i="20"/>
  <c r="G493" i="20"/>
  <c r="C493" i="20"/>
  <c r="G492" i="20"/>
  <c r="C492" i="20"/>
  <c r="G491" i="20"/>
  <c r="C491" i="20"/>
  <c r="G489" i="20"/>
  <c r="C489" i="20"/>
  <c r="G488" i="20"/>
  <c r="C488" i="20"/>
  <c r="G486" i="20"/>
  <c r="C486" i="20"/>
  <c r="G485" i="20"/>
  <c r="C485" i="20"/>
  <c r="G484" i="20"/>
  <c r="C484" i="20"/>
  <c r="G483" i="20"/>
  <c r="C483" i="20"/>
  <c r="G482" i="20"/>
  <c r="C482" i="20"/>
  <c r="G481" i="20"/>
  <c r="C481" i="20"/>
  <c r="G480" i="20"/>
  <c r="C480" i="20"/>
  <c r="G479" i="20"/>
  <c r="C479" i="20"/>
  <c r="G478" i="20"/>
  <c r="C478" i="20"/>
  <c r="G477" i="20"/>
  <c r="C477" i="20"/>
  <c r="G476" i="20"/>
  <c r="C476" i="20"/>
  <c r="G475" i="20"/>
  <c r="C475" i="20"/>
  <c r="G474" i="20"/>
  <c r="C474" i="20"/>
  <c r="G473" i="20"/>
  <c r="C473" i="20"/>
  <c r="G472" i="20"/>
  <c r="C472" i="20"/>
  <c r="G471" i="20"/>
  <c r="C471" i="20"/>
  <c r="C467" i="20"/>
  <c r="C466" i="20"/>
  <c r="C464" i="20"/>
  <c r="C463" i="20"/>
  <c r="C462" i="20"/>
  <c r="C461" i="20"/>
  <c r="C460" i="20"/>
  <c r="C459" i="20"/>
  <c r="C458" i="20"/>
  <c r="C457" i="20"/>
  <c r="C456" i="20"/>
  <c r="C455" i="20"/>
  <c r="G453" i="20"/>
  <c r="C453" i="20"/>
  <c r="G452" i="20"/>
  <c r="C452" i="20"/>
  <c r="G451" i="20"/>
  <c r="C451" i="20"/>
  <c r="G450" i="20"/>
  <c r="C450" i="20"/>
  <c r="G449" i="20"/>
  <c r="C449" i="20"/>
  <c r="G448" i="20"/>
  <c r="C448" i="20"/>
  <c r="G447" i="20"/>
  <c r="C447" i="20"/>
  <c r="G446" i="20"/>
  <c r="C446" i="20"/>
  <c r="G445" i="20"/>
  <c r="C445" i="20"/>
  <c r="G444" i="20"/>
  <c r="C444" i="20"/>
  <c r="G442" i="20"/>
  <c r="C442" i="20"/>
  <c r="G441" i="20"/>
  <c r="C441" i="20"/>
  <c r="G440" i="20"/>
  <c r="C440" i="20"/>
  <c r="G439" i="20"/>
  <c r="C439" i="20"/>
  <c r="G438" i="20"/>
  <c r="C438" i="20"/>
  <c r="G437" i="20"/>
  <c r="C437" i="20"/>
  <c r="G436" i="20"/>
  <c r="C436" i="20"/>
  <c r="G435" i="20"/>
  <c r="C435" i="20"/>
  <c r="C433" i="20"/>
  <c r="C432" i="20"/>
  <c r="G430" i="20"/>
  <c r="C430" i="20"/>
  <c r="G429" i="20"/>
  <c r="C429" i="20"/>
  <c r="G428" i="20"/>
  <c r="C428" i="20"/>
  <c r="G427" i="20"/>
  <c r="C427" i="20"/>
  <c r="G426" i="20"/>
  <c r="C426" i="20"/>
  <c r="G425" i="20"/>
  <c r="C425" i="20"/>
  <c r="G424" i="20"/>
  <c r="C424" i="20"/>
  <c r="G423" i="20"/>
  <c r="C423" i="20"/>
  <c r="G420" i="20"/>
  <c r="C420" i="20"/>
  <c r="G419" i="20"/>
  <c r="C419" i="20"/>
  <c r="G418" i="20"/>
  <c r="C418" i="20"/>
  <c r="G417" i="20"/>
  <c r="C417" i="20"/>
  <c r="G416" i="20"/>
  <c r="C416" i="20"/>
  <c r="G415" i="20"/>
  <c r="C415" i="20"/>
  <c r="G414" i="20"/>
  <c r="C414" i="20"/>
  <c r="J413" i="20"/>
  <c r="G413" i="20"/>
  <c r="C413" i="20"/>
  <c r="G412" i="20"/>
  <c r="C412" i="20"/>
  <c r="G411" i="20"/>
  <c r="C411" i="20"/>
  <c r="G410" i="20"/>
  <c r="C410" i="20"/>
  <c r="G409" i="20"/>
  <c r="C409" i="20"/>
  <c r="G408" i="20"/>
  <c r="C408" i="20"/>
  <c r="G407" i="20"/>
  <c r="C407" i="20"/>
  <c r="G406" i="20"/>
  <c r="C406" i="20"/>
  <c r="G405" i="20"/>
  <c r="C405" i="20"/>
  <c r="G404" i="20"/>
  <c r="C404" i="20"/>
  <c r="G403" i="20"/>
  <c r="C403" i="20"/>
  <c r="C401" i="20"/>
  <c r="C400" i="20"/>
  <c r="C398" i="20"/>
  <c r="C397" i="20"/>
  <c r="G395" i="20"/>
  <c r="C395" i="20"/>
  <c r="G394" i="20"/>
  <c r="C394" i="20"/>
  <c r="G393" i="20"/>
  <c r="C393" i="20"/>
  <c r="G392" i="20"/>
  <c r="C392" i="20"/>
  <c r="C390" i="20"/>
  <c r="C389" i="20"/>
  <c r="G387" i="20"/>
  <c r="C387" i="20"/>
  <c r="G386" i="20"/>
  <c r="C386" i="20"/>
  <c r="G384" i="20"/>
  <c r="C384" i="20"/>
  <c r="G383" i="20"/>
  <c r="C383" i="20"/>
  <c r="G381" i="20"/>
  <c r="C381" i="20"/>
  <c r="G380" i="20"/>
  <c r="C380" i="20"/>
  <c r="G379" i="20"/>
  <c r="C379" i="20"/>
  <c r="G378" i="20"/>
  <c r="C378" i="20"/>
  <c r="G377" i="20"/>
  <c r="C377" i="20"/>
  <c r="G376" i="20"/>
  <c r="C376" i="20"/>
  <c r="C374" i="20"/>
  <c r="C373" i="20"/>
  <c r="C371" i="20"/>
  <c r="C370" i="20"/>
  <c r="C368" i="20"/>
  <c r="C367" i="20"/>
  <c r="C365" i="20"/>
  <c r="C364" i="20"/>
  <c r="G362" i="20"/>
  <c r="C362" i="20"/>
  <c r="G361" i="20"/>
  <c r="C361" i="20"/>
  <c r="G360" i="20"/>
  <c r="C360" i="20"/>
  <c r="G359" i="20"/>
  <c r="C359" i="20"/>
  <c r="G358" i="20"/>
  <c r="C358" i="20"/>
  <c r="G357" i="20"/>
  <c r="C357" i="20"/>
  <c r="G356" i="20"/>
  <c r="C356" i="20"/>
  <c r="G355" i="20"/>
  <c r="C355" i="20"/>
  <c r="G354" i="20"/>
  <c r="C354" i="20"/>
  <c r="G353" i="20"/>
  <c r="C353" i="20"/>
  <c r="G351" i="20"/>
  <c r="C351" i="20"/>
  <c r="G350" i="20"/>
  <c r="C350" i="20"/>
  <c r="G349" i="20"/>
  <c r="C349" i="20"/>
  <c r="G348" i="20"/>
  <c r="C348" i="20"/>
  <c r="G346" i="20"/>
  <c r="C346" i="20"/>
  <c r="G345" i="20"/>
  <c r="C345" i="20"/>
  <c r="C342" i="20"/>
  <c r="C341" i="20"/>
  <c r="G339" i="20"/>
  <c r="C339" i="20"/>
  <c r="G338" i="20"/>
  <c r="C338" i="20"/>
  <c r="G337" i="20"/>
  <c r="C337" i="20"/>
  <c r="G336" i="20"/>
  <c r="C336" i="20"/>
  <c r="G335" i="20"/>
  <c r="C335" i="20"/>
  <c r="G334" i="20"/>
  <c r="C334" i="20"/>
  <c r="G333" i="20"/>
  <c r="C333" i="20"/>
  <c r="G332" i="20"/>
  <c r="C332" i="20"/>
  <c r="G328" i="20"/>
  <c r="C328" i="20"/>
  <c r="G327" i="20"/>
  <c r="C327" i="20"/>
  <c r="G326" i="20"/>
  <c r="C326" i="20"/>
  <c r="G325" i="20"/>
  <c r="C325" i="20"/>
  <c r="G324" i="20"/>
  <c r="C324" i="20"/>
  <c r="G323" i="20"/>
  <c r="C323" i="20"/>
  <c r="G322" i="20"/>
  <c r="C322" i="20"/>
  <c r="G321" i="20"/>
  <c r="C321" i="20"/>
  <c r="G320" i="20"/>
  <c r="C320" i="20"/>
  <c r="G319" i="20"/>
  <c r="C319" i="20"/>
  <c r="G318" i="20"/>
  <c r="C318" i="20"/>
  <c r="G317" i="20"/>
  <c r="C317" i="20"/>
  <c r="G316" i="20"/>
  <c r="C316" i="20"/>
  <c r="G315" i="20"/>
  <c r="C315" i="20"/>
  <c r="G314" i="20"/>
  <c r="C314" i="20"/>
  <c r="G313" i="20"/>
  <c r="C313" i="20"/>
  <c r="G312" i="20"/>
  <c r="C312" i="20"/>
  <c r="G311" i="20"/>
  <c r="C311" i="20"/>
  <c r="C309" i="20"/>
  <c r="G308" i="20"/>
  <c r="C308" i="20"/>
  <c r="G307" i="20"/>
  <c r="C307" i="20"/>
  <c r="G306" i="20"/>
  <c r="C306" i="20"/>
  <c r="G305" i="20"/>
  <c r="C305" i="20"/>
  <c r="G304" i="20"/>
  <c r="C304" i="20"/>
  <c r="G303" i="20"/>
  <c r="C303" i="20"/>
  <c r="G302" i="20"/>
  <c r="C302" i="20"/>
  <c r="G301" i="20"/>
  <c r="C301" i="20"/>
  <c r="G300" i="20"/>
  <c r="C300" i="20"/>
  <c r="G299" i="20"/>
  <c r="C299" i="20"/>
  <c r="G298" i="20"/>
  <c r="C298" i="20"/>
  <c r="G297" i="20"/>
  <c r="C297" i="20"/>
  <c r="G296" i="20"/>
  <c r="C296" i="20"/>
  <c r="G295" i="20"/>
  <c r="C295" i="20"/>
  <c r="G294" i="20"/>
  <c r="C294" i="20"/>
  <c r="G293" i="20"/>
  <c r="C293" i="20"/>
  <c r="G292" i="20"/>
  <c r="C292" i="20"/>
  <c r="G289" i="20"/>
  <c r="C289" i="20"/>
  <c r="G288" i="20"/>
  <c r="C288" i="20"/>
  <c r="G287" i="20"/>
  <c r="C287" i="20"/>
  <c r="G286" i="20"/>
  <c r="C286" i="20"/>
  <c r="G285" i="20"/>
  <c r="C285" i="20"/>
  <c r="G284" i="20"/>
  <c r="C284" i="20"/>
  <c r="G283" i="20"/>
  <c r="C283" i="20"/>
  <c r="G282" i="20"/>
  <c r="C282" i="20"/>
  <c r="G281" i="20"/>
  <c r="C281" i="20"/>
  <c r="G280" i="20"/>
  <c r="C280" i="20"/>
  <c r="G279" i="20"/>
  <c r="C279" i="20"/>
  <c r="G278" i="20"/>
  <c r="C278" i="20"/>
  <c r="G277" i="20"/>
  <c r="C277" i="20"/>
  <c r="G276" i="20"/>
  <c r="C276" i="20"/>
  <c r="G275" i="20"/>
  <c r="C275" i="20"/>
  <c r="G274" i="20"/>
  <c r="C274" i="20"/>
  <c r="G273" i="20"/>
  <c r="C273" i="20"/>
  <c r="G272" i="20"/>
  <c r="C272" i="20"/>
  <c r="G271" i="20"/>
  <c r="C271" i="20"/>
  <c r="G268" i="20"/>
  <c r="C268" i="20"/>
  <c r="G267" i="20"/>
  <c r="C267" i="20"/>
  <c r="G266" i="20"/>
  <c r="C266" i="20"/>
  <c r="G265" i="20"/>
  <c r="C265" i="20"/>
  <c r="G264" i="20"/>
  <c r="C264" i="20"/>
  <c r="G263" i="20"/>
  <c r="C263" i="20"/>
  <c r="G262" i="20"/>
  <c r="C262" i="20"/>
  <c r="G261" i="20"/>
  <c r="C261" i="20"/>
  <c r="G260" i="20"/>
  <c r="C260" i="20"/>
  <c r="G259" i="20"/>
  <c r="C259" i="20"/>
  <c r="G258" i="20"/>
  <c r="C258" i="20"/>
  <c r="G257" i="20"/>
  <c r="C257" i="20"/>
  <c r="C254" i="20"/>
  <c r="C253" i="20"/>
  <c r="C252" i="20"/>
  <c r="C251" i="20"/>
  <c r="C250" i="20"/>
  <c r="C249" i="20"/>
  <c r="C248" i="20"/>
  <c r="C247" i="20"/>
  <c r="C246" i="20"/>
  <c r="C245" i="20"/>
  <c r="G243" i="20"/>
  <c r="C243" i="20"/>
  <c r="G242" i="20"/>
  <c r="C242" i="20"/>
  <c r="G240" i="20"/>
  <c r="C240" i="20"/>
  <c r="G239" i="20"/>
  <c r="C239" i="20"/>
  <c r="G238" i="20"/>
  <c r="C238" i="20"/>
  <c r="G237" i="20"/>
  <c r="C237" i="20"/>
  <c r="G236" i="20"/>
  <c r="C236" i="20"/>
  <c r="G235" i="20"/>
  <c r="C235" i="20"/>
  <c r="G234" i="20"/>
  <c r="C234" i="20"/>
  <c r="G233" i="20"/>
  <c r="C233" i="20"/>
  <c r="G232" i="20"/>
  <c r="C232" i="20"/>
  <c r="G231" i="20"/>
  <c r="C231" i="20"/>
  <c r="G230" i="20"/>
  <c r="C230" i="20"/>
  <c r="G229" i="20"/>
  <c r="C229" i="20"/>
  <c r="G227" i="20"/>
  <c r="C227" i="20"/>
  <c r="G226" i="20"/>
  <c r="C226" i="20"/>
  <c r="G225" i="20"/>
  <c r="C225" i="20"/>
  <c r="G224" i="20"/>
  <c r="C224" i="20"/>
  <c r="G222" i="20"/>
  <c r="C222" i="20"/>
  <c r="G221" i="20"/>
  <c r="C221" i="20"/>
  <c r="G220" i="20"/>
  <c r="C220" i="20"/>
  <c r="G219" i="20"/>
  <c r="C219" i="20"/>
  <c r="G218" i="20"/>
  <c r="C218" i="20"/>
  <c r="G217" i="20"/>
  <c r="C217" i="20"/>
  <c r="G214" i="20"/>
  <c r="C214" i="20"/>
  <c r="G213" i="20"/>
  <c r="C213" i="20"/>
  <c r="G212" i="20"/>
  <c r="C212" i="20"/>
  <c r="G211" i="20"/>
  <c r="C211" i="20"/>
  <c r="G210" i="20"/>
  <c r="C210" i="20"/>
  <c r="G209" i="20"/>
  <c r="C209" i="20"/>
  <c r="G208" i="20"/>
  <c r="C208" i="20"/>
  <c r="G207" i="20"/>
  <c r="C207" i="20"/>
  <c r="G206" i="20"/>
  <c r="C206" i="20"/>
  <c r="G205" i="20"/>
  <c r="C205" i="20"/>
  <c r="G204" i="20"/>
  <c r="C204" i="20"/>
  <c r="G203" i="20"/>
  <c r="C203" i="20"/>
  <c r="G202" i="20"/>
  <c r="C202" i="20"/>
  <c r="G201" i="20"/>
  <c r="C201" i="20"/>
  <c r="G200" i="20"/>
  <c r="C200" i="20"/>
  <c r="G199" i="20"/>
  <c r="C199" i="20"/>
  <c r="G198" i="20"/>
  <c r="C198" i="20"/>
  <c r="G197" i="20"/>
  <c r="C197" i="20"/>
  <c r="G195" i="20"/>
  <c r="C195" i="20"/>
  <c r="G194" i="20"/>
  <c r="C194" i="20"/>
  <c r="G192" i="20"/>
  <c r="C192" i="20"/>
  <c r="G191" i="20"/>
  <c r="C191" i="20"/>
  <c r="G190" i="20"/>
  <c r="C190" i="20"/>
  <c r="G189" i="20"/>
  <c r="C189" i="20"/>
  <c r="G187" i="20"/>
  <c r="C187" i="20"/>
  <c r="G186" i="20"/>
  <c r="C186" i="20"/>
  <c r="G185" i="20"/>
  <c r="C185" i="20"/>
  <c r="G184" i="20"/>
  <c r="C184" i="20"/>
  <c r="G183" i="20"/>
  <c r="C183" i="20"/>
  <c r="G182" i="20"/>
  <c r="C182" i="20"/>
  <c r="G181" i="20"/>
  <c r="C181" i="20"/>
  <c r="G180" i="20"/>
  <c r="C180" i="20"/>
  <c r="G178" i="20"/>
  <c r="C178" i="20"/>
  <c r="G177" i="20"/>
  <c r="C177" i="20"/>
  <c r="G176" i="20"/>
  <c r="C176" i="20"/>
  <c r="G175" i="20"/>
  <c r="C175" i="20"/>
  <c r="G174" i="20"/>
  <c r="C174" i="20"/>
  <c r="G173" i="20"/>
  <c r="C173" i="20"/>
  <c r="G172" i="20"/>
  <c r="C172" i="20"/>
  <c r="G171" i="20"/>
  <c r="C171" i="20"/>
  <c r="G169" i="20"/>
  <c r="C169" i="20"/>
  <c r="G168" i="20"/>
  <c r="C168" i="20"/>
  <c r="G166" i="20"/>
  <c r="C166" i="20"/>
  <c r="G165" i="20"/>
  <c r="C165" i="20"/>
  <c r="C163" i="20"/>
  <c r="C162" i="20"/>
  <c r="C160" i="20"/>
  <c r="C159" i="20"/>
  <c r="C157" i="20"/>
  <c r="C156" i="20"/>
  <c r="C154" i="20"/>
  <c r="C153" i="20"/>
  <c r="C151" i="20"/>
  <c r="C150" i="20"/>
  <c r="C148" i="20"/>
  <c r="C147" i="20"/>
  <c r="C145" i="20"/>
  <c r="C144" i="20"/>
  <c r="G142" i="20"/>
  <c r="C142" i="20"/>
  <c r="G141" i="20"/>
  <c r="C141" i="20"/>
  <c r="G140" i="20"/>
  <c r="C140" i="20"/>
  <c r="G139" i="20"/>
  <c r="C139" i="20"/>
  <c r="C137" i="20"/>
  <c r="C136" i="20"/>
  <c r="G134" i="20"/>
  <c r="C134" i="20"/>
  <c r="G133" i="20"/>
  <c r="C133" i="20"/>
  <c r="G132" i="20"/>
  <c r="C132" i="20"/>
  <c r="G131" i="20"/>
  <c r="C131" i="20"/>
  <c r="G130" i="20"/>
  <c r="C130" i="20"/>
  <c r="G129" i="20"/>
  <c r="C129" i="20"/>
  <c r="G128" i="20"/>
  <c r="C128" i="20"/>
  <c r="G127" i="20"/>
  <c r="C127" i="20"/>
  <c r="G126" i="20"/>
  <c r="C126" i="20"/>
  <c r="G125" i="20"/>
  <c r="C125" i="20"/>
  <c r="G124" i="20"/>
  <c r="C124" i="20"/>
  <c r="G123" i="20"/>
  <c r="C123" i="20"/>
  <c r="G122" i="20"/>
  <c r="C122" i="20"/>
  <c r="G121" i="20"/>
  <c r="C121" i="20"/>
  <c r="G120" i="20"/>
  <c r="C120" i="20"/>
  <c r="G119" i="20"/>
  <c r="C119" i="20"/>
  <c r="G117" i="20"/>
  <c r="C117" i="20"/>
  <c r="G116" i="20"/>
  <c r="C116" i="20"/>
  <c r="G115" i="20"/>
  <c r="C115" i="20"/>
  <c r="G114" i="20"/>
  <c r="C114" i="20"/>
  <c r="G113" i="20"/>
  <c r="C113" i="20"/>
  <c r="G112" i="20"/>
  <c r="C112" i="20"/>
  <c r="G111" i="20"/>
  <c r="C111" i="20"/>
  <c r="G110" i="20"/>
  <c r="C110" i="20"/>
  <c r="G109" i="20"/>
  <c r="C109" i="20"/>
  <c r="G108" i="20"/>
  <c r="C108" i="20"/>
  <c r="G107" i="20"/>
  <c r="C107" i="20"/>
  <c r="G106" i="20"/>
  <c r="C106" i="20"/>
  <c r="G105" i="20"/>
  <c r="C105" i="20"/>
  <c r="G104" i="20"/>
  <c r="C104" i="20"/>
  <c r="G103" i="20"/>
  <c r="C103" i="20"/>
  <c r="G102" i="20"/>
  <c r="C102" i="20"/>
  <c r="G100" i="20"/>
  <c r="C100" i="20"/>
  <c r="G99" i="20"/>
  <c r="C99" i="20"/>
  <c r="G98" i="20"/>
  <c r="C98" i="20"/>
  <c r="G97" i="20"/>
  <c r="C97" i="20"/>
  <c r="G96" i="20"/>
  <c r="C96" i="20"/>
  <c r="G95" i="20"/>
  <c r="C95" i="20"/>
  <c r="G94" i="20"/>
  <c r="C94" i="20"/>
  <c r="G93" i="20"/>
  <c r="C93" i="20"/>
  <c r="G92" i="20"/>
  <c r="C92" i="20"/>
  <c r="G91" i="20"/>
  <c r="C91" i="20"/>
  <c r="G90" i="20"/>
  <c r="C90" i="20"/>
  <c r="G89" i="20"/>
  <c r="C89" i="20"/>
  <c r="G88" i="20"/>
  <c r="C88" i="20"/>
  <c r="G87" i="20"/>
  <c r="C87" i="20"/>
  <c r="G86" i="20"/>
  <c r="C86" i="20"/>
  <c r="G85" i="20"/>
  <c r="C85" i="20"/>
  <c r="G84" i="20"/>
  <c r="C84" i="20"/>
  <c r="G83" i="20"/>
  <c r="C83" i="20"/>
  <c r="G82" i="20"/>
  <c r="C82" i="20"/>
  <c r="G81" i="20"/>
  <c r="C81" i="20"/>
  <c r="G80" i="20"/>
  <c r="C80" i="20"/>
  <c r="G79" i="20"/>
  <c r="C79" i="20"/>
  <c r="G77" i="20"/>
  <c r="C77" i="20"/>
  <c r="G76" i="20"/>
  <c r="C76" i="20"/>
  <c r="G75" i="20"/>
  <c r="C75" i="20"/>
  <c r="G74" i="20"/>
  <c r="C74" i="20"/>
  <c r="G73" i="20"/>
  <c r="C73" i="20"/>
  <c r="G72" i="20"/>
  <c r="C72" i="20"/>
  <c r="G71" i="20"/>
  <c r="C71" i="20"/>
  <c r="G70" i="20"/>
  <c r="C70" i="20"/>
  <c r="G69" i="20"/>
  <c r="C69" i="20"/>
  <c r="G68" i="20"/>
  <c r="C68" i="20"/>
  <c r="G67" i="20"/>
  <c r="C67" i="20"/>
  <c r="G66" i="20"/>
  <c r="C66" i="20"/>
  <c r="G65" i="20"/>
  <c r="C65" i="20"/>
  <c r="G64" i="20"/>
  <c r="C64" i="20"/>
  <c r="G63" i="20"/>
  <c r="C63" i="20"/>
  <c r="G62" i="20"/>
  <c r="C62" i="20"/>
  <c r="G61" i="20"/>
  <c r="C61" i="20"/>
  <c r="G60" i="20"/>
  <c r="C60" i="20"/>
  <c r="G58" i="20"/>
  <c r="C58" i="20"/>
  <c r="G57" i="20"/>
  <c r="C57" i="20"/>
  <c r="G56" i="20"/>
  <c r="C56" i="20"/>
  <c r="G55" i="20"/>
  <c r="C55" i="20"/>
  <c r="G54" i="20"/>
  <c r="C54" i="20"/>
  <c r="G53" i="20"/>
  <c r="C53" i="20"/>
  <c r="G52" i="20"/>
  <c r="C52" i="20"/>
  <c r="G51" i="20"/>
  <c r="C51" i="20"/>
  <c r="G49" i="20"/>
  <c r="C49" i="20"/>
  <c r="G48" i="20"/>
  <c r="C48" i="20"/>
  <c r="G47" i="20"/>
  <c r="C47" i="20"/>
  <c r="G46" i="20"/>
  <c r="C46" i="20"/>
  <c r="G45" i="20"/>
  <c r="C45" i="20"/>
  <c r="G44" i="20"/>
  <c r="C44" i="20"/>
  <c r="G43" i="20"/>
  <c r="C43" i="20"/>
  <c r="G42" i="20"/>
  <c r="C42" i="20"/>
  <c r="G41" i="20"/>
  <c r="C41" i="20"/>
  <c r="G40" i="20"/>
  <c r="C40" i="20"/>
  <c r="G39" i="20"/>
  <c r="C39" i="20"/>
  <c r="G38" i="20"/>
  <c r="C38" i="20"/>
  <c r="G37" i="20"/>
  <c r="C37" i="20"/>
  <c r="G36" i="20"/>
  <c r="C36" i="20"/>
  <c r="G35" i="20"/>
  <c r="C35" i="20"/>
  <c r="G34" i="20"/>
  <c r="C34" i="20"/>
  <c r="G32" i="20"/>
  <c r="C32" i="20"/>
  <c r="G31" i="20"/>
  <c r="C31" i="20"/>
  <c r="G30" i="20"/>
  <c r="C30" i="20"/>
  <c r="G29" i="20"/>
  <c r="C29" i="20"/>
  <c r="G28" i="20"/>
  <c r="C28" i="20"/>
  <c r="G27" i="20"/>
  <c r="C27" i="20"/>
  <c r="G26" i="20"/>
  <c r="C26" i="20"/>
  <c r="G25" i="20"/>
  <c r="C25" i="20"/>
  <c r="G24" i="20"/>
  <c r="C24" i="20"/>
  <c r="G23" i="20"/>
  <c r="C23" i="20"/>
  <c r="G22" i="20"/>
  <c r="C22" i="20"/>
  <c r="G21" i="20"/>
  <c r="C21" i="20"/>
  <c r="G20" i="20"/>
  <c r="C20" i="20"/>
  <c r="G19" i="20"/>
  <c r="C19" i="20"/>
  <c r="G16" i="20"/>
  <c r="C16" i="20"/>
  <c r="G15" i="20"/>
  <c r="C15" i="20"/>
  <c r="G14" i="20"/>
  <c r="C14" i="20"/>
  <c r="G13" i="20"/>
  <c r="C13" i="20"/>
  <c r="G12" i="20"/>
  <c r="C12" i="20"/>
  <c r="G11" i="20"/>
  <c r="C11" i="20"/>
  <c r="G10" i="20"/>
  <c r="C10" i="20"/>
  <c r="G9" i="20"/>
  <c r="C9" i="20"/>
  <c r="G8" i="20"/>
  <c r="C8" i="20"/>
  <c r="G7" i="20"/>
  <c r="C7" i="20"/>
  <c r="J4" i="20"/>
  <c r="I4" i="20"/>
  <c r="K4" i="20" l="1"/>
  <c r="J413" i="14"/>
  <c r="G413" i="14"/>
  <c r="P37" i="19" l="1"/>
  <c r="Q37" i="19"/>
  <c r="P38" i="19"/>
  <c r="Q38" i="19"/>
  <c r="P39" i="19"/>
  <c r="Q39" i="19"/>
  <c r="P40" i="19"/>
  <c r="Q40" i="19"/>
  <c r="P41" i="19"/>
  <c r="Q41" i="19"/>
  <c r="P42" i="19"/>
  <c r="Q42" i="19"/>
  <c r="P43" i="19"/>
  <c r="Q43" i="19"/>
  <c r="P44" i="19"/>
  <c r="Q44" i="19"/>
  <c r="P45" i="19"/>
  <c r="Q45" i="19"/>
  <c r="P46" i="19"/>
  <c r="Q46" i="19"/>
  <c r="P47" i="19"/>
  <c r="Q47" i="19"/>
  <c r="Q36" i="19"/>
  <c r="P36" i="19"/>
  <c r="P32" i="19"/>
  <c r="Q32" i="19"/>
  <c r="P33" i="19"/>
  <c r="Q33" i="19"/>
  <c r="Q31" i="19"/>
  <c r="P31" i="19"/>
  <c r="P15" i="19"/>
  <c r="Q15" i="19"/>
  <c r="P16" i="19"/>
  <c r="Q16" i="19"/>
  <c r="P17" i="19"/>
  <c r="Q17" i="19"/>
  <c r="P18" i="19"/>
  <c r="Q18" i="19"/>
  <c r="P19" i="19"/>
  <c r="Q19" i="19"/>
  <c r="P20" i="19"/>
  <c r="Q20" i="19"/>
  <c r="P21" i="19"/>
  <c r="Q21" i="19"/>
  <c r="P22" i="19"/>
  <c r="Q22" i="19"/>
  <c r="P23" i="19"/>
  <c r="Q23" i="19"/>
  <c r="P24" i="19"/>
  <c r="Q24" i="19"/>
  <c r="P25" i="19"/>
  <c r="Q25" i="19"/>
  <c r="Q14" i="19"/>
  <c r="P14" i="19"/>
  <c r="P6" i="19"/>
  <c r="Q6" i="19"/>
  <c r="P7" i="19"/>
  <c r="Q7" i="19"/>
  <c r="P8" i="19"/>
  <c r="Q8" i="19"/>
  <c r="P9" i="19"/>
  <c r="Q9" i="19"/>
  <c r="P10" i="19"/>
  <c r="Q10" i="19"/>
  <c r="P11" i="19"/>
  <c r="Q11" i="19"/>
  <c r="Q5" i="19"/>
  <c r="P5" i="19"/>
  <c r="M37" i="19"/>
  <c r="N37" i="19"/>
  <c r="M38" i="19"/>
  <c r="N38" i="19"/>
  <c r="M39" i="19"/>
  <c r="N39" i="19"/>
  <c r="M40" i="19"/>
  <c r="N40" i="19"/>
  <c r="M41" i="19"/>
  <c r="N41" i="19"/>
  <c r="M42" i="19"/>
  <c r="N42" i="19"/>
  <c r="M43" i="19"/>
  <c r="N43" i="19"/>
  <c r="M44" i="19"/>
  <c r="N44" i="19"/>
  <c r="M45" i="19"/>
  <c r="N45" i="19"/>
  <c r="M46" i="19"/>
  <c r="N46" i="19"/>
  <c r="M47" i="19"/>
  <c r="N47" i="19"/>
  <c r="N36" i="19"/>
  <c r="M36" i="19"/>
  <c r="M32" i="19"/>
  <c r="N32" i="19"/>
  <c r="M33" i="19"/>
  <c r="N33" i="19"/>
  <c r="N31" i="19"/>
  <c r="M31" i="19"/>
  <c r="M25" i="19"/>
  <c r="N25" i="19"/>
  <c r="M15" i="19"/>
  <c r="N15" i="19"/>
  <c r="M16" i="19"/>
  <c r="N16" i="19"/>
  <c r="M17" i="19"/>
  <c r="N17" i="19"/>
  <c r="M18" i="19"/>
  <c r="N18" i="19"/>
  <c r="M19" i="19"/>
  <c r="N19" i="19"/>
  <c r="M20" i="19"/>
  <c r="N20" i="19"/>
  <c r="M21" i="19"/>
  <c r="N21" i="19"/>
  <c r="M22" i="19"/>
  <c r="N22" i="19"/>
  <c r="M23" i="19"/>
  <c r="N23" i="19"/>
  <c r="M24" i="19"/>
  <c r="N24" i="19"/>
  <c r="N14" i="19"/>
  <c r="M14" i="19"/>
  <c r="M6" i="19"/>
  <c r="N6" i="19"/>
  <c r="M7" i="19"/>
  <c r="N7" i="19"/>
  <c r="M8" i="19"/>
  <c r="N8" i="19"/>
  <c r="M9" i="19"/>
  <c r="N9" i="19"/>
  <c r="M10" i="19"/>
  <c r="N10" i="19"/>
  <c r="M11" i="19"/>
  <c r="N11" i="19"/>
  <c r="N5" i="19"/>
  <c r="M5" i="19"/>
  <c r="J37" i="19"/>
  <c r="K37" i="19"/>
  <c r="J38" i="19"/>
  <c r="K38" i="19"/>
  <c r="J39" i="19"/>
  <c r="K39" i="19"/>
  <c r="J40" i="19"/>
  <c r="K40" i="19"/>
  <c r="J41" i="19"/>
  <c r="K41" i="19"/>
  <c r="J42" i="19"/>
  <c r="K42" i="19"/>
  <c r="J43" i="19"/>
  <c r="K43" i="19"/>
  <c r="J44" i="19"/>
  <c r="K44" i="19"/>
  <c r="J45" i="19"/>
  <c r="K45" i="19"/>
  <c r="K46" i="19"/>
  <c r="J47" i="19"/>
  <c r="K47" i="19"/>
  <c r="K36" i="19"/>
  <c r="J36" i="19"/>
  <c r="J32" i="19"/>
  <c r="K32" i="19"/>
  <c r="J33" i="19"/>
  <c r="K33" i="19"/>
  <c r="K31" i="19"/>
  <c r="J31" i="19"/>
  <c r="J15" i="19"/>
  <c r="K15" i="19"/>
  <c r="J16" i="19"/>
  <c r="K16" i="19"/>
  <c r="J17" i="19"/>
  <c r="K17" i="19"/>
  <c r="J18" i="19"/>
  <c r="K18" i="19"/>
  <c r="J19" i="19"/>
  <c r="K19" i="19"/>
  <c r="J20" i="19"/>
  <c r="K20" i="19"/>
  <c r="J21" i="19"/>
  <c r="K21" i="19"/>
  <c r="J22" i="19"/>
  <c r="K22" i="19"/>
  <c r="J23" i="19"/>
  <c r="K23" i="19"/>
  <c r="J24" i="19"/>
  <c r="K24" i="19"/>
  <c r="J25" i="19"/>
  <c r="K25" i="19"/>
  <c r="K14" i="19"/>
  <c r="J14" i="19"/>
  <c r="K6" i="19"/>
  <c r="K7" i="19"/>
  <c r="K8" i="19"/>
  <c r="K9" i="19"/>
  <c r="K10" i="19"/>
  <c r="K11" i="19"/>
  <c r="K5" i="19"/>
  <c r="J6" i="19"/>
  <c r="J7" i="19"/>
  <c r="J8" i="19"/>
  <c r="J9" i="19"/>
  <c r="J10" i="19"/>
  <c r="J11" i="19"/>
  <c r="J5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3" i="19"/>
  <c r="H32" i="19"/>
  <c r="H31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1" i="19"/>
  <c r="H10" i="19"/>
  <c r="H9" i="19"/>
  <c r="H8" i="19"/>
  <c r="H7" i="19"/>
  <c r="H6" i="19"/>
  <c r="H5" i="19"/>
  <c r="G47" i="19"/>
  <c r="G46" i="19"/>
  <c r="G45" i="19"/>
  <c r="G44" i="19"/>
  <c r="G43" i="19"/>
  <c r="G42" i="19"/>
  <c r="G41" i="19"/>
  <c r="G40" i="19"/>
  <c r="G39" i="19"/>
  <c r="G38" i="19"/>
  <c r="G37" i="19"/>
  <c r="G36" i="19"/>
  <c r="G33" i="19"/>
  <c r="G32" i="19"/>
  <c r="G31" i="19"/>
  <c r="G25" i="19"/>
  <c r="G24" i="19"/>
  <c r="G23" i="19"/>
  <c r="G22" i="19"/>
  <c r="G21" i="19"/>
  <c r="G20" i="19"/>
  <c r="G19" i="19"/>
  <c r="G18" i="19"/>
  <c r="G17" i="19"/>
  <c r="G16" i="19"/>
  <c r="G15" i="19"/>
  <c r="G14" i="19"/>
  <c r="G6" i="19"/>
  <c r="G7" i="19"/>
  <c r="G8" i="19"/>
  <c r="G9" i="19"/>
  <c r="G10" i="19"/>
  <c r="G11" i="19"/>
  <c r="G5" i="19"/>
  <c r="C48" i="19"/>
  <c r="E47" i="19"/>
  <c r="E46" i="19"/>
  <c r="E45" i="19"/>
  <c r="E44" i="19"/>
  <c r="E43" i="19"/>
  <c r="E42" i="19"/>
  <c r="E41" i="19"/>
  <c r="E40" i="19"/>
  <c r="E39" i="19"/>
  <c r="E38" i="19"/>
  <c r="E37" i="19"/>
  <c r="E36" i="19"/>
  <c r="E33" i="19"/>
  <c r="E32" i="19"/>
  <c r="E31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3" i="19"/>
  <c r="D32" i="19"/>
  <c r="D31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6" i="19"/>
  <c r="E7" i="19"/>
  <c r="E8" i="19"/>
  <c r="E9" i="19"/>
  <c r="E10" i="19"/>
  <c r="E11" i="19"/>
  <c r="E5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6" i="19"/>
  <c r="D7" i="19"/>
  <c r="D8" i="19"/>
  <c r="D9" i="19"/>
  <c r="D10" i="19"/>
  <c r="D11" i="19"/>
  <c r="D5" i="19"/>
  <c r="C34" i="19"/>
  <c r="C26" i="19"/>
  <c r="C27" i="19" s="1"/>
  <c r="C12" i="19"/>
  <c r="G37" i="17"/>
  <c r="R42" i="19" l="1"/>
  <c r="O36" i="19"/>
  <c r="R37" i="19"/>
  <c r="L40" i="19"/>
  <c r="G34" i="19"/>
  <c r="L44" i="19"/>
  <c r="O46" i="19"/>
  <c r="R44" i="19"/>
  <c r="R38" i="19"/>
  <c r="O42" i="19"/>
  <c r="R40" i="19"/>
  <c r="O38" i="19"/>
  <c r="R46" i="19"/>
  <c r="O43" i="19"/>
  <c r="R45" i="19"/>
  <c r="R41" i="19"/>
  <c r="F36" i="19"/>
  <c r="L43" i="19"/>
  <c r="O37" i="19"/>
  <c r="R31" i="19"/>
  <c r="R47" i="19"/>
  <c r="R43" i="19"/>
  <c r="R39" i="19"/>
  <c r="R33" i="19"/>
  <c r="O45" i="19"/>
  <c r="R32" i="19"/>
  <c r="L31" i="19"/>
  <c r="O41" i="19"/>
  <c r="F7" i="19"/>
  <c r="I7" i="19" s="1"/>
  <c r="L7" i="19" s="1"/>
  <c r="O7" i="19" s="1"/>
  <c r="R7" i="19" s="1"/>
  <c r="L45" i="19"/>
  <c r="L41" i="19"/>
  <c r="L37" i="19"/>
  <c r="O31" i="19"/>
  <c r="O47" i="19"/>
  <c r="O39" i="19"/>
  <c r="F44" i="19"/>
  <c r="L39" i="19"/>
  <c r="O33" i="19"/>
  <c r="R36" i="19"/>
  <c r="L47" i="19"/>
  <c r="K48" i="19"/>
  <c r="P26" i="19"/>
  <c r="O44" i="19"/>
  <c r="O40" i="19"/>
  <c r="L36" i="19"/>
  <c r="O32" i="19"/>
  <c r="P48" i="19"/>
  <c r="Q48" i="19"/>
  <c r="P34" i="19"/>
  <c r="Q34" i="19"/>
  <c r="Q26" i="19"/>
  <c r="P12" i="19"/>
  <c r="Q12" i="19"/>
  <c r="L33" i="19"/>
  <c r="L42" i="19"/>
  <c r="L38" i="19"/>
  <c r="L32" i="19"/>
  <c r="M48" i="19"/>
  <c r="F6" i="19"/>
  <c r="I6" i="19" s="1"/>
  <c r="L6" i="19" s="1"/>
  <c r="O6" i="19" s="1"/>
  <c r="R6" i="19" s="1"/>
  <c r="S6" i="19" s="1"/>
  <c r="H34" i="19"/>
  <c r="N48" i="19"/>
  <c r="M34" i="19"/>
  <c r="N34" i="19"/>
  <c r="M26" i="19"/>
  <c r="N26" i="19"/>
  <c r="M12" i="19"/>
  <c r="N12" i="19"/>
  <c r="F37" i="19"/>
  <c r="F45" i="19"/>
  <c r="H48" i="19"/>
  <c r="G48" i="19"/>
  <c r="J26" i="19"/>
  <c r="J34" i="19"/>
  <c r="K34" i="19"/>
  <c r="K26" i="19"/>
  <c r="K12" i="19"/>
  <c r="J12" i="19"/>
  <c r="F8" i="19"/>
  <c r="I8" i="19" s="1"/>
  <c r="L8" i="19" s="1"/>
  <c r="O8" i="19" s="1"/>
  <c r="R8" i="19" s="1"/>
  <c r="S8" i="19" s="1"/>
  <c r="F41" i="19"/>
  <c r="F10" i="19"/>
  <c r="I10" i="19" s="1"/>
  <c r="L10" i="19" s="1"/>
  <c r="O10" i="19" s="1"/>
  <c r="R10" i="19" s="1"/>
  <c r="S10" i="19" s="1"/>
  <c r="F17" i="19"/>
  <c r="I17" i="19" s="1"/>
  <c r="L17" i="19" s="1"/>
  <c r="O17" i="19" s="1"/>
  <c r="R17" i="19" s="1"/>
  <c r="S17" i="19" s="1"/>
  <c r="F11" i="19"/>
  <c r="I11" i="19" s="1"/>
  <c r="L11" i="19" s="1"/>
  <c r="O11" i="19" s="1"/>
  <c r="R11" i="19" s="1"/>
  <c r="S11" i="19" s="1"/>
  <c r="F42" i="19"/>
  <c r="F9" i="19"/>
  <c r="I9" i="19" s="1"/>
  <c r="L9" i="19" s="1"/>
  <c r="O9" i="19" s="1"/>
  <c r="R9" i="19" s="1"/>
  <c r="S9" i="19" s="1"/>
  <c r="F15" i="19"/>
  <c r="I15" i="19" s="1"/>
  <c r="L15" i="19" s="1"/>
  <c r="O15" i="19" s="1"/>
  <c r="R15" i="19" s="1"/>
  <c r="S15" i="19" s="1"/>
  <c r="F23" i="19"/>
  <c r="I23" i="19" s="1"/>
  <c r="L23" i="19" s="1"/>
  <c r="O23" i="19" s="1"/>
  <c r="R23" i="19" s="1"/>
  <c r="S23" i="19" s="1"/>
  <c r="F38" i="19"/>
  <c r="F46" i="19"/>
  <c r="I43" i="19"/>
  <c r="F16" i="19"/>
  <c r="I16" i="19" s="1"/>
  <c r="L16" i="19" s="1"/>
  <c r="O16" i="19" s="1"/>
  <c r="R16" i="19" s="1"/>
  <c r="S16" i="19" s="1"/>
  <c r="F24" i="19"/>
  <c r="I24" i="19" s="1"/>
  <c r="L24" i="19" s="1"/>
  <c r="O24" i="19" s="1"/>
  <c r="R24" i="19" s="1"/>
  <c r="S24" i="19" s="1"/>
  <c r="I36" i="19"/>
  <c r="I44" i="19"/>
  <c r="I37" i="19"/>
  <c r="I45" i="19"/>
  <c r="F5" i="19"/>
  <c r="I5" i="19" s="1"/>
  <c r="L5" i="19" s="1"/>
  <c r="O5" i="19" s="1"/>
  <c r="R5" i="19" s="1"/>
  <c r="S5" i="19" s="1"/>
  <c r="F18" i="19"/>
  <c r="I18" i="19" s="1"/>
  <c r="L18" i="19" s="1"/>
  <c r="O18" i="19" s="1"/>
  <c r="R18" i="19" s="1"/>
  <c r="S18" i="19" s="1"/>
  <c r="I38" i="19"/>
  <c r="I46" i="19"/>
  <c r="F19" i="19"/>
  <c r="I19" i="19" s="1"/>
  <c r="L19" i="19" s="1"/>
  <c r="O19" i="19" s="1"/>
  <c r="R19" i="19" s="1"/>
  <c r="S19" i="19" s="1"/>
  <c r="G12" i="19"/>
  <c r="I39" i="19"/>
  <c r="I47" i="19"/>
  <c r="F20" i="19"/>
  <c r="I20" i="19" s="1"/>
  <c r="L20" i="19" s="1"/>
  <c r="O20" i="19" s="1"/>
  <c r="R20" i="19" s="1"/>
  <c r="S20" i="19" s="1"/>
  <c r="I40" i="19"/>
  <c r="I31" i="19"/>
  <c r="F21" i="19"/>
  <c r="I21" i="19" s="1"/>
  <c r="L21" i="19" s="1"/>
  <c r="O21" i="19" s="1"/>
  <c r="R21" i="19" s="1"/>
  <c r="S21" i="19" s="1"/>
  <c r="I41" i="19"/>
  <c r="I32" i="19"/>
  <c r="F14" i="19"/>
  <c r="I14" i="19" s="1"/>
  <c r="L14" i="19" s="1"/>
  <c r="O14" i="19" s="1"/>
  <c r="R14" i="19" s="1"/>
  <c r="S14" i="19" s="1"/>
  <c r="F22" i="19"/>
  <c r="I22" i="19" s="1"/>
  <c r="L22" i="19" s="1"/>
  <c r="O22" i="19" s="1"/>
  <c r="R22" i="19" s="1"/>
  <c r="S22" i="19" s="1"/>
  <c r="I42" i="19"/>
  <c r="I33" i="19"/>
  <c r="H26" i="19"/>
  <c r="H12" i="19"/>
  <c r="F39" i="19"/>
  <c r="F47" i="19"/>
  <c r="F43" i="19"/>
  <c r="F40" i="19"/>
  <c r="F31" i="19"/>
  <c r="F32" i="19"/>
  <c r="F33" i="19"/>
  <c r="E48" i="19"/>
  <c r="D26" i="19"/>
  <c r="D12" i="19"/>
  <c r="E26" i="19"/>
  <c r="D48" i="19"/>
  <c r="D34" i="19"/>
  <c r="E34" i="19"/>
  <c r="G26" i="19"/>
  <c r="E12" i="19"/>
  <c r="I646" i="14"/>
  <c r="G414" i="14"/>
  <c r="G300" i="14"/>
  <c r="S36" i="19" l="1"/>
  <c r="I4" i="14"/>
  <c r="J46" i="19"/>
  <c r="F37" i="17"/>
  <c r="H37" i="17" s="1"/>
  <c r="L34" i="19"/>
  <c r="R48" i="19"/>
  <c r="S32" i="19"/>
  <c r="S31" i="19"/>
  <c r="O48" i="19"/>
  <c r="S40" i="19"/>
  <c r="S44" i="19"/>
  <c r="R34" i="19"/>
  <c r="R49" i="19" s="1"/>
  <c r="O34" i="19"/>
  <c r="S43" i="19"/>
  <c r="S38" i="19"/>
  <c r="S41" i="19"/>
  <c r="N27" i="19"/>
  <c r="S47" i="19"/>
  <c r="S39" i="19"/>
  <c r="S45" i="19"/>
  <c r="S33" i="19"/>
  <c r="S42" i="19"/>
  <c r="S37" i="19"/>
  <c r="R12" i="19"/>
  <c r="S7" i="19"/>
  <c r="S12" i="19" s="1"/>
  <c r="P50" i="19"/>
  <c r="Q27" i="19"/>
  <c r="P27" i="19"/>
  <c r="Q50" i="19"/>
  <c r="K27" i="19"/>
  <c r="N50" i="19"/>
  <c r="O12" i="19"/>
  <c r="M27" i="19"/>
  <c r="M50" i="19"/>
  <c r="L12" i="19"/>
  <c r="K50" i="19"/>
  <c r="J27" i="19"/>
  <c r="I34" i="19"/>
  <c r="I48" i="19"/>
  <c r="G27" i="19"/>
  <c r="I12" i="19"/>
  <c r="F48" i="19"/>
  <c r="H27" i="19"/>
  <c r="H50" i="19"/>
  <c r="G50" i="19"/>
  <c r="D50" i="19"/>
  <c r="E50" i="19"/>
  <c r="E27" i="19"/>
  <c r="F34" i="19"/>
  <c r="F12" i="19"/>
  <c r="D27" i="19"/>
  <c r="J4" i="14"/>
  <c r="G24" i="17"/>
  <c r="F24" i="17"/>
  <c r="D21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8" i="17"/>
  <c r="F38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3" i="17"/>
  <c r="F11" i="17"/>
  <c r="F12" i="17"/>
  <c r="F13" i="17"/>
  <c r="F14" i="17"/>
  <c r="F15" i="17"/>
  <c r="F16" i="17"/>
  <c r="F17" i="17"/>
  <c r="F18" i="17"/>
  <c r="F19" i="17"/>
  <c r="F20" i="17"/>
  <c r="F21" i="17"/>
  <c r="F4" i="17"/>
  <c r="F5" i="17"/>
  <c r="F6" i="17"/>
  <c r="F7" i="17"/>
  <c r="F8" i="17"/>
  <c r="F9" i="17"/>
  <c r="F10" i="17"/>
  <c r="F3" i="17"/>
  <c r="D40" i="17"/>
  <c r="D41" i="17"/>
  <c r="J48" i="19" l="1"/>
  <c r="J50" i="19" s="1"/>
  <c r="L46" i="19"/>
  <c r="Q51" i="19"/>
  <c r="S34" i="19"/>
  <c r="O49" i="19"/>
  <c r="K51" i="19"/>
  <c r="I49" i="19"/>
  <c r="H51" i="19"/>
  <c r="F49" i="19"/>
  <c r="F25" i="19" s="1"/>
  <c r="H17" i="17"/>
  <c r="H35" i="17"/>
  <c r="H10" i="17"/>
  <c r="H8" i="17"/>
  <c r="H18" i="17"/>
  <c r="H16" i="17"/>
  <c r="H25" i="17"/>
  <c r="H33" i="17"/>
  <c r="H27" i="17"/>
  <c r="H9" i="17"/>
  <c r="H7" i="17"/>
  <c r="H15" i="17"/>
  <c r="H34" i="17"/>
  <c r="H28" i="17"/>
  <c r="H36" i="17"/>
  <c r="H13" i="17"/>
  <c r="H20" i="17"/>
  <c r="H5" i="17"/>
  <c r="J5" i="17" s="1"/>
  <c r="H4" i="17"/>
  <c r="J4" i="17" s="1"/>
  <c r="H21" i="17"/>
  <c r="H12" i="17"/>
  <c r="H29" i="17"/>
  <c r="H38" i="17"/>
  <c r="H6" i="17"/>
  <c r="H31" i="17"/>
  <c r="H14" i="17"/>
  <c r="H3" i="17"/>
  <c r="G41" i="17"/>
  <c r="H30" i="17"/>
  <c r="F41" i="17"/>
  <c r="H19" i="17"/>
  <c r="H11" i="17"/>
  <c r="H26" i="17"/>
  <c r="H32" i="17"/>
  <c r="H24" i="17"/>
  <c r="L48" i="19" l="1"/>
  <c r="L49" i="19" s="1"/>
  <c r="S46" i="19"/>
  <c r="S48" i="19" s="1"/>
  <c r="I25" i="19"/>
  <c r="L25" i="19" s="1"/>
  <c r="L26" i="19" s="1"/>
  <c r="L27" i="19" s="1"/>
  <c r="S49" i="19"/>
  <c r="F26" i="19"/>
  <c r="F27" i="19" s="1"/>
  <c r="I26" i="19"/>
  <c r="I27" i="19" s="1"/>
  <c r="H41" i="17"/>
  <c r="O25" i="19" l="1"/>
  <c r="O26" i="19" s="1"/>
  <c r="O27" i="19" s="1"/>
  <c r="G985" i="14"/>
  <c r="G984" i="14"/>
  <c r="G980" i="14"/>
  <c r="G979" i="14"/>
  <c r="G978" i="14"/>
  <c r="G977" i="14"/>
  <c r="G976" i="14"/>
  <c r="G975" i="14"/>
  <c r="G974" i="14"/>
  <c r="G962" i="14"/>
  <c r="G965" i="14"/>
  <c r="G964" i="14"/>
  <c r="G963" i="14"/>
  <c r="G961" i="14"/>
  <c r="G960" i="14"/>
  <c r="G959" i="14"/>
  <c r="G958" i="14"/>
  <c r="G949" i="14"/>
  <c r="G948" i="14"/>
  <c r="G947" i="14"/>
  <c r="G946" i="14"/>
  <c r="G940" i="14"/>
  <c r="G937" i="14"/>
  <c r="G934" i="14"/>
  <c r="G933" i="14"/>
  <c r="G932" i="14"/>
  <c r="G931" i="14"/>
  <c r="G930" i="14"/>
  <c r="G929" i="14"/>
  <c r="G921" i="14"/>
  <c r="G920" i="14"/>
  <c r="G919" i="14"/>
  <c r="G918" i="14"/>
  <c r="G912" i="14"/>
  <c r="G909" i="14"/>
  <c r="G908" i="14"/>
  <c r="G904" i="14"/>
  <c r="G901" i="14"/>
  <c r="G880" i="14"/>
  <c r="G879" i="14"/>
  <c r="G875" i="14"/>
  <c r="G867" i="14"/>
  <c r="G864" i="14"/>
  <c r="G863" i="14"/>
  <c r="G862" i="14"/>
  <c r="G857" i="14"/>
  <c r="G856" i="14"/>
  <c r="G843" i="14"/>
  <c r="G842" i="14"/>
  <c r="G838" i="14"/>
  <c r="G837" i="14"/>
  <c r="G836" i="14"/>
  <c r="G983" i="14"/>
  <c r="G982" i="14"/>
  <c r="G973" i="14"/>
  <c r="G972" i="14"/>
  <c r="G971" i="14"/>
  <c r="G970" i="14"/>
  <c r="G969" i="14"/>
  <c r="G968" i="14"/>
  <c r="G967" i="14"/>
  <c r="G957" i="14"/>
  <c r="G956" i="14"/>
  <c r="G955" i="14"/>
  <c r="G954" i="14"/>
  <c r="G953" i="14"/>
  <c r="G952" i="14"/>
  <c r="G951" i="14"/>
  <c r="G945" i="14"/>
  <c r="G944" i="14"/>
  <c r="G943" i="14"/>
  <c r="G942" i="14"/>
  <c r="G939" i="14"/>
  <c r="G936" i="14"/>
  <c r="G928" i="14"/>
  <c r="G927" i="14"/>
  <c r="G926" i="14"/>
  <c r="G925" i="14"/>
  <c r="G924" i="14"/>
  <c r="G923" i="14"/>
  <c r="G917" i="14"/>
  <c r="G916" i="14"/>
  <c r="G915" i="14"/>
  <c r="G914" i="14"/>
  <c r="G911" i="14"/>
  <c r="G907" i="14"/>
  <c r="G906" i="14"/>
  <c r="G903" i="14"/>
  <c r="G900" i="14"/>
  <c r="G878" i="14"/>
  <c r="G877" i="14"/>
  <c r="G874" i="14"/>
  <c r="G866" i="14"/>
  <c r="G861" i="14"/>
  <c r="G860" i="14"/>
  <c r="G859" i="14"/>
  <c r="G855" i="14"/>
  <c r="G854" i="14"/>
  <c r="G848" i="14"/>
  <c r="G847" i="14"/>
  <c r="G846" i="14"/>
  <c r="G845" i="14"/>
  <c r="G841" i="14"/>
  <c r="G840" i="14"/>
  <c r="G835" i="14"/>
  <c r="G834" i="14"/>
  <c r="G833" i="14"/>
  <c r="G826" i="14"/>
  <c r="G825" i="14"/>
  <c r="G824" i="14"/>
  <c r="G823" i="14"/>
  <c r="G822" i="14"/>
  <c r="R25" i="19" l="1"/>
  <c r="S25" i="19" s="1"/>
  <c r="S26" i="19" s="1"/>
  <c r="S27" i="19" s="1"/>
  <c r="G810" i="14"/>
  <c r="G809" i="14"/>
  <c r="G808" i="14"/>
  <c r="G807" i="14"/>
  <c r="G806" i="14"/>
  <c r="G805" i="14"/>
  <c r="G804" i="14"/>
  <c r="G795" i="14"/>
  <c r="G794" i="14"/>
  <c r="G793" i="14"/>
  <c r="G792" i="14"/>
  <c r="G786" i="14"/>
  <c r="G785" i="14"/>
  <c r="G784" i="14"/>
  <c r="G783" i="14"/>
  <c r="G777" i="14"/>
  <c r="G776" i="14"/>
  <c r="G775" i="14"/>
  <c r="G774" i="14"/>
  <c r="G773" i="14"/>
  <c r="G766" i="14"/>
  <c r="G765" i="14"/>
  <c r="G761" i="14"/>
  <c r="G760" i="14"/>
  <c r="G759" i="14"/>
  <c r="G758" i="14"/>
  <c r="G757" i="14"/>
  <c r="G750" i="14"/>
  <c r="G747" i="14"/>
  <c r="R26" i="19" l="1"/>
  <c r="R27" i="19" s="1"/>
  <c r="G803" i="14"/>
  <c r="G802" i="14"/>
  <c r="G801" i="14"/>
  <c r="G800" i="14"/>
  <c r="G799" i="14"/>
  <c r="G798" i="14"/>
  <c r="G797" i="14"/>
  <c r="G791" i="14"/>
  <c r="G790" i="14"/>
  <c r="G789" i="14"/>
  <c r="G788" i="14"/>
  <c r="G782" i="14"/>
  <c r="G781" i="14"/>
  <c r="G780" i="14"/>
  <c r="G779" i="14"/>
  <c r="G772" i="14"/>
  <c r="G771" i="14"/>
  <c r="G770" i="14"/>
  <c r="G769" i="14"/>
  <c r="G768" i="14"/>
  <c r="G764" i="14"/>
  <c r="G763" i="14"/>
  <c r="G756" i="14"/>
  <c r="G755" i="14"/>
  <c r="G754" i="14"/>
  <c r="G753" i="14"/>
  <c r="G752" i="14"/>
  <c r="G749" i="14"/>
  <c r="G746" i="14"/>
  <c r="G243" i="14" l="1"/>
  <c r="G242" i="14"/>
  <c r="G744" i="14"/>
  <c r="G728" i="14"/>
  <c r="G727" i="14"/>
  <c r="G726" i="14"/>
  <c r="G721" i="14"/>
  <c r="G718" i="14"/>
  <c r="G717" i="14"/>
  <c r="G713" i="14"/>
  <c r="G712" i="14"/>
  <c r="G708" i="14"/>
  <c r="G707" i="14"/>
  <c r="G703" i="14"/>
  <c r="G702" i="14"/>
  <c r="G698" i="14"/>
  <c r="G697" i="14"/>
  <c r="G696" i="14"/>
  <c r="G691" i="14"/>
  <c r="G690" i="14"/>
  <c r="G689" i="14"/>
  <c r="G688" i="14"/>
  <c r="G687" i="14"/>
  <c r="G674" i="14"/>
  <c r="G673" i="14"/>
  <c r="G672" i="14"/>
  <c r="G671" i="14"/>
  <c r="G664" i="14"/>
  <c r="G663" i="14"/>
  <c r="G662" i="14"/>
  <c r="G661" i="14"/>
  <c r="G660" i="14"/>
  <c r="G659" i="14"/>
  <c r="G658" i="14"/>
  <c r="G657" i="14"/>
  <c r="G743" i="14"/>
  <c r="G725" i="14"/>
  <c r="G724" i="14"/>
  <c r="G723" i="14"/>
  <c r="G720" i="14"/>
  <c r="G716" i="14"/>
  <c r="G715" i="14"/>
  <c r="G711" i="14"/>
  <c r="G710" i="14"/>
  <c r="G706" i="14"/>
  <c r="G705" i="14"/>
  <c r="G701" i="14"/>
  <c r="G700" i="14"/>
  <c r="G695" i="14"/>
  <c r="G694" i="14"/>
  <c r="G693" i="14"/>
  <c r="G686" i="14"/>
  <c r="G685" i="14"/>
  <c r="G684" i="14"/>
  <c r="G683" i="14"/>
  <c r="G682" i="14"/>
  <c r="G670" i="14"/>
  <c r="G669" i="14"/>
  <c r="G668" i="14"/>
  <c r="G667" i="14"/>
  <c r="G656" i="14"/>
  <c r="G655" i="14"/>
  <c r="G654" i="14"/>
  <c r="G653" i="14"/>
  <c r="G652" i="14"/>
  <c r="G651" i="14"/>
  <c r="G650" i="14"/>
  <c r="G649" i="14"/>
  <c r="G632" i="14"/>
  <c r="G631" i="14"/>
  <c r="G630" i="14"/>
  <c r="G629" i="14"/>
  <c r="G628" i="14"/>
  <c r="G627" i="14"/>
  <c r="G619" i="14"/>
  <c r="G618" i="14"/>
  <c r="G617" i="14"/>
  <c r="G616" i="14"/>
  <c r="G615" i="14"/>
  <c r="G614" i="14"/>
  <c r="G606" i="14"/>
  <c r="G605" i="14"/>
  <c r="G604" i="14"/>
  <c r="G603" i="14"/>
  <c r="G597" i="14"/>
  <c r="G596" i="14"/>
  <c r="G595" i="14"/>
  <c r="G590" i="14"/>
  <c r="G587" i="14"/>
  <c r="G586" i="14"/>
  <c r="G582" i="14"/>
  <c r="G579" i="14"/>
  <c r="G578" i="14"/>
  <c r="G552" i="14"/>
  <c r="G551" i="14"/>
  <c r="G550" i="14"/>
  <c r="G545" i="14"/>
  <c r="G544" i="14"/>
  <c r="G543" i="14"/>
  <c r="G542" i="14"/>
  <c r="G541" i="14"/>
  <c r="G532" i="14"/>
  <c r="G531" i="14"/>
  <c r="G530" i="14"/>
  <c r="G529" i="14"/>
  <c r="G523" i="14"/>
  <c r="G522" i="14"/>
  <c r="G521" i="14"/>
  <c r="G520" i="14"/>
  <c r="G519" i="14"/>
  <c r="G512" i="14"/>
  <c r="G511" i="14"/>
  <c r="G510" i="14"/>
  <c r="G504" i="14"/>
  <c r="G503" i="14"/>
  <c r="G502" i="14"/>
  <c r="G501" i="14"/>
  <c r="G500" i="14"/>
  <c r="G499" i="14"/>
  <c r="G498" i="14"/>
  <c r="G489" i="14"/>
  <c r="G486" i="14"/>
  <c r="G485" i="14"/>
  <c r="G484" i="14"/>
  <c r="G483" i="14"/>
  <c r="G482" i="14"/>
  <c r="G481" i="14"/>
  <c r="G480" i="14"/>
  <c r="G479" i="14"/>
  <c r="G626" i="14"/>
  <c r="G625" i="14"/>
  <c r="G624" i="14"/>
  <c r="G623" i="14"/>
  <c r="G622" i="14"/>
  <c r="G621" i="14"/>
  <c r="G613" i="14"/>
  <c r="G612" i="14"/>
  <c r="G611" i="14"/>
  <c r="G610" i="14"/>
  <c r="G609" i="14"/>
  <c r="G608" i="14"/>
  <c r="G602" i="14"/>
  <c r="G601" i="14"/>
  <c r="G600" i="14"/>
  <c r="G599" i="14"/>
  <c r="G594" i="14"/>
  <c r="G593" i="14"/>
  <c r="G592" i="14"/>
  <c r="G589" i="14"/>
  <c r="G585" i="14"/>
  <c r="G584" i="14"/>
  <c r="G581" i="14"/>
  <c r="G577" i="14"/>
  <c r="G576" i="14"/>
  <c r="G549" i="14"/>
  <c r="G548" i="14"/>
  <c r="G547" i="14"/>
  <c r="G540" i="14"/>
  <c r="G539" i="14"/>
  <c r="G538" i="14"/>
  <c r="G537" i="14"/>
  <c r="G536" i="14"/>
  <c r="G528" i="14"/>
  <c r="G527" i="14"/>
  <c r="G526" i="14"/>
  <c r="G525" i="14"/>
  <c r="G518" i="14"/>
  <c r="G517" i="14"/>
  <c r="G516" i="14"/>
  <c r="G515" i="14"/>
  <c r="G514" i="14"/>
  <c r="G509" i="14"/>
  <c r="G508" i="14"/>
  <c r="G507" i="14"/>
  <c r="G497" i="14"/>
  <c r="G496" i="14"/>
  <c r="G488" i="14"/>
  <c r="G495" i="14"/>
  <c r="G494" i="14"/>
  <c r="G493" i="14"/>
  <c r="G492" i="14"/>
  <c r="G491" i="14"/>
  <c r="G478" i="14"/>
  <c r="G477" i="14"/>
  <c r="G476" i="14"/>
  <c r="G475" i="14"/>
  <c r="G474" i="14"/>
  <c r="G473" i="14"/>
  <c r="G472" i="14"/>
  <c r="G471" i="14"/>
  <c r="G453" i="14"/>
  <c r="G452" i="14"/>
  <c r="G451" i="14"/>
  <c r="G450" i="14"/>
  <c r="G449" i="14"/>
  <c r="G442" i="14"/>
  <c r="G441" i="14"/>
  <c r="G440" i="14"/>
  <c r="G439" i="14"/>
  <c r="G430" i="14"/>
  <c r="G429" i="14"/>
  <c r="G428" i="14"/>
  <c r="G427" i="14"/>
  <c r="G420" i="14"/>
  <c r="G419" i="14"/>
  <c r="G418" i="14"/>
  <c r="G417" i="14"/>
  <c r="G416" i="14"/>
  <c r="G415" i="14"/>
  <c r="G412" i="14"/>
  <c r="G411" i="14"/>
  <c r="G395" i="14"/>
  <c r="G394" i="14"/>
  <c r="G387" i="14"/>
  <c r="G384" i="14"/>
  <c r="G381" i="14"/>
  <c r="G380" i="14"/>
  <c r="G379" i="14"/>
  <c r="G362" i="14"/>
  <c r="G361" i="14"/>
  <c r="G360" i="14"/>
  <c r="G359" i="14"/>
  <c r="G358" i="14"/>
  <c r="G351" i="14"/>
  <c r="G350" i="14"/>
  <c r="G346" i="14"/>
  <c r="G339" i="14"/>
  <c r="G338" i="14"/>
  <c r="G337" i="14"/>
  <c r="G336" i="14"/>
  <c r="G328" i="14"/>
  <c r="G327" i="14"/>
  <c r="G326" i="14"/>
  <c r="G325" i="14"/>
  <c r="G324" i="14"/>
  <c r="G323" i="14"/>
  <c r="G322" i="14"/>
  <c r="G321" i="14"/>
  <c r="G320" i="14"/>
  <c r="G308" i="14"/>
  <c r="G307" i="14"/>
  <c r="G306" i="14"/>
  <c r="G305" i="14"/>
  <c r="G304" i="14"/>
  <c r="G303" i="14"/>
  <c r="G302" i="14"/>
  <c r="G301" i="14"/>
  <c r="G286" i="14"/>
  <c r="G289" i="14"/>
  <c r="G288" i="14"/>
  <c r="G287" i="14"/>
  <c r="G285" i="14"/>
  <c r="G284" i="14"/>
  <c r="G283" i="14"/>
  <c r="G282" i="14"/>
  <c r="G281" i="14"/>
  <c r="G280" i="14"/>
  <c r="G268" i="14"/>
  <c r="G267" i="14"/>
  <c r="G266" i="14"/>
  <c r="G265" i="14"/>
  <c r="G264" i="14"/>
  <c r="G263" i="14"/>
  <c r="G448" i="14"/>
  <c r="G447" i="14"/>
  <c r="G446" i="14"/>
  <c r="G445" i="14"/>
  <c r="G444" i="14"/>
  <c r="G438" i="14"/>
  <c r="G437" i="14"/>
  <c r="G436" i="14"/>
  <c r="G435" i="14"/>
  <c r="G426" i="14"/>
  <c r="G425" i="14"/>
  <c r="G424" i="14"/>
  <c r="G423" i="14"/>
  <c r="G410" i="14"/>
  <c r="G409" i="14"/>
  <c r="G408" i="14"/>
  <c r="G407" i="14"/>
  <c r="G406" i="14"/>
  <c r="G405" i="14"/>
  <c r="G404" i="14"/>
  <c r="G403" i="14"/>
  <c r="G393" i="14"/>
  <c r="G392" i="14"/>
  <c r="G386" i="14"/>
  <c r="G383" i="14"/>
  <c r="G378" i="14"/>
  <c r="G377" i="14"/>
  <c r="G376" i="14"/>
  <c r="G357" i="14"/>
  <c r="G356" i="14"/>
  <c r="G355" i="14"/>
  <c r="G354" i="14"/>
  <c r="G353" i="14"/>
  <c r="G349" i="14"/>
  <c r="G348" i="14"/>
  <c r="G345" i="14"/>
  <c r="G335" i="14"/>
  <c r="G334" i="14"/>
  <c r="G333" i="14"/>
  <c r="G332" i="14"/>
  <c r="G319" i="14"/>
  <c r="G318" i="14"/>
  <c r="G317" i="14"/>
  <c r="G316" i="14"/>
  <c r="G315" i="14"/>
  <c r="G314" i="14"/>
  <c r="G313" i="14"/>
  <c r="G312" i="14"/>
  <c r="G311" i="14"/>
  <c r="G299" i="14"/>
  <c r="G298" i="14"/>
  <c r="G297" i="14"/>
  <c r="G296" i="14"/>
  <c r="G295" i="14"/>
  <c r="G294" i="14"/>
  <c r="G293" i="14"/>
  <c r="G292" i="14"/>
  <c r="G279" i="14"/>
  <c r="G278" i="14"/>
  <c r="G277" i="14"/>
  <c r="G276" i="14"/>
  <c r="G275" i="14"/>
  <c r="G274" i="14"/>
  <c r="G273" i="14"/>
  <c r="G272" i="14"/>
  <c r="G271" i="14"/>
  <c r="G262" i="14"/>
  <c r="G261" i="14"/>
  <c r="G260" i="14"/>
  <c r="G259" i="14"/>
  <c r="G258" i="14"/>
  <c r="G257" i="14"/>
  <c r="G240" i="14"/>
  <c r="G239" i="14"/>
  <c r="G238" i="14"/>
  <c r="G237" i="14"/>
  <c r="G236" i="14"/>
  <c r="G235" i="14"/>
  <c r="G227" i="14"/>
  <c r="G226" i="14"/>
  <c r="G222" i="14"/>
  <c r="G221" i="14"/>
  <c r="G220" i="14"/>
  <c r="G214" i="14"/>
  <c r="G213" i="14"/>
  <c r="G212" i="14"/>
  <c r="G211" i="14"/>
  <c r="G210" i="14"/>
  <c r="G209" i="14"/>
  <c r="G208" i="14"/>
  <c r="G207" i="14"/>
  <c r="G206" i="14"/>
  <c r="G195" i="14"/>
  <c r="G192" i="14"/>
  <c r="G191" i="14"/>
  <c r="G187" i="14"/>
  <c r="G186" i="14"/>
  <c r="G185" i="14"/>
  <c r="G184" i="14"/>
  <c r="G178" i="14"/>
  <c r="G177" i="14"/>
  <c r="G176" i="14"/>
  <c r="G175" i="14"/>
  <c r="G169" i="14"/>
  <c r="G166" i="14"/>
  <c r="G142" i="14"/>
  <c r="G141" i="14"/>
  <c r="G134" i="14"/>
  <c r="G133" i="14"/>
  <c r="G132" i="14"/>
  <c r="G131" i="14"/>
  <c r="G130" i="14"/>
  <c r="G129" i="14"/>
  <c r="G128" i="14"/>
  <c r="G127" i="14"/>
  <c r="G117" i="14"/>
  <c r="G116" i="14"/>
  <c r="G115" i="14"/>
  <c r="G114" i="14"/>
  <c r="G113" i="14"/>
  <c r="G112" i="14"/>
  <c r="G111" i="14"/>
  <c r="G110" i="14"/>
  <c r="G100" i="14"/>
  <c r="G99" i="14"/>
  <c r="G98" i="14"/>
  <c r="G97" i="14"/>
  <c r="G96" i="14"/>
  <c r="G95" i="14"/>
  <c r="G94" i="14"/>
  <c r="G93" i="14"/>
  <c r="G92" i="14"/>
  <c r="G91" i="14"/>
  <c r="G90" i="14"/>
  <c r="G77" i="14"/>
  <c r="G76" i="14"/>
  <c r="G75" i="14"/>
  <c r="G74" i="14"/>
  <c r="G73" i="14"/>
  <c r="G72" i="14"/>
  <c r="G71" i="14"/>
  <c r="G70" i="14"/>
  <c r="G69" i="14"/>
  <c r="G58" i="14"/>
  <c r="G57" i="14"/>
  <c r="G56" i="14"/>
  <c r="G55" i="14"/>
  <c r="G12" i="14"/>
  <c r="G13" i="14"/>
  <c r="G14" i="14"/>
  <c r="G15" i="14"/>
  <c r="G16" i="14"/>
  <c r="G42" i="14"/>
  <c r="G43" i="14"/>
  <c r="G44" i="14"/>
  <c r="G45" i="14"/>
  <c r="G46" i="14"/>
  <c r="G47" i="14"/>
  <c r="G48" i="14"/>
  <c r="G49" i="14"/>
  <c r="G26" i="14"/>
  <c r="G27" i="14"/>
  <c r="G28" i="14"/>
  <c r="G29" i="14"/>
  <c r="G30" i="14"/>
  <c r="G31" i="14"/>
  <c r="G32" i="14"/>
  <c r="G35" i="14"/>
  <c r="G36" i="14"/>
  <c r="G37" i="14"/>
  <c r="G38" i="14"/>
  <c r="G39" i="14"/>
  <c r="G40" i="14"/>
  <c r="G41" i="14"/>
  <c r="G51" i="14"/>
  <c r="G52" i="14"/>
  <c r="G53" i="14"/>
  <c r="G54" i="14"/>
  <c r="G60" i="14"/>
  <c r="G61" i="14"/>
  <c r="G62" i="14"/>
  <c r="G63" i="14"/>
  <c r="G64" i="14"/>
  <c r="G65" i="14"/>
  <c r="G66" i="14"/>
  <c r="G67" i="14"/>
  <c r="G68" i="14"/>
  <c r="G79" i="14"/>
  <c r="G80" i="14"/>
  <c r="G81" i="14"/>
  <c r="G82" i="14"/>
  <c r="G83" i="14"/>
  <c r="G84" i="14"/>
  <c r="G85" i="14"/>
  <c r="G86" i="14"/>
  <c r="G87" i="14"/>
  <c r="G88" i="14"/>
  <c r="G89" i="14"/>
  <c r="G102" i="14"/>
  <c r="G103" i="14"/>
  <c r="G104" i="14"/>
  <c r="G105" i="14"/>
  <c r="G106" i="14"/>
  <c r="G107" i="14"/>
  <c r="G108" i="14"/>
  <c r="G109" i="14"/>
  <c r="G119" i="14"/>
  <c r="G120" i="14"/>
  <c r="G121" i="14"/>
  <c r="G122" i="14"/>
  <c r="G123" i="14"/>
  <c r="G124" i="14"/>
  <c r="G125" i="14"/>
  <c r="G126" i="14"/>
  <c r="G139" i="14"/>
  <c r="G140" i="14"/>
  <c r="G165" i="14"/>
  <c r="G168" i="14"/>
  <c r="G171" i="14"/>
  <c r="G172" i="14"/>
  <c r="G173" i="14"/>
  <c r="G174" i="14"/>
  <c r="G180" i="14"/>
  <c r="G181" i="14"/>
  <c r="G182" i="14"/>
  <c r="G183" i="14"/>
  <c r="G189" i="14"/>
  <c r="G190" i="14"/>
  <c r="G194" i="14"/>
  <c r="G197" i="14"/>
  <c r="G198" i="14"/>
  <c r="G199" i="14"/>
  <c r="G200" i="14"/>
  <c r="G201" i="14"/>
  <c r="G202" i="14"/>
  <c r="G203" i="14"/>
  <c r="G204" i="14"/>
  <c r="G205" i="14"/>
  <c r="G217" i="14"/>
  <c r="G218" i="14"/>
  <c r="G219" i="14"/>
  <c r="G224" i="14"/>
  <c r="G225" i="14"/>
  <c r="G229" i="14"/>
  <c r="G230" i="14"/>
  <c r="G231" i="14"/>
  <c r="G232" i="14"/>
  <c r="G233" i="14"/>
  <c r="G234" i="14"/>
  <c r="G8" i="14"/>
  <c r="G9" i="14"/>
  <c r="G10" i="14"/>
  <c r="G11" i="14"/>
  <c r="G19" i="14"/>
  <c r="G20" i="14"/>
  <c r="G21" i="14"/>
  <c r="G22" i="14"/>
  <c r="G23" i="14"/>
  <c r="G24" i="14"/>
  <c r="G25" i="14"/>
  <c r="G34" i="14"/>
  <c r="G7" i="14"/>
  <c r="K4" i="14" l="1"/>
</calcChain>
</file>

<file path=xl/sharedStrings.xml><?xml version="1.0" encoding="utf-8"?>
<sst xmlns="http://schemas.openxmlformats.org/spreadsheetml/2006/main" count="8310" uniqueCount="1007">
  <si>
    <t>1111-00</t>
  </si>
  <si>
    <t>เงินสด</t>
  </si>
  <si>
    <t>1112-01</t>
  </si>
  <si>
    <t>1113-01</t>
  </si>
  <si>
    <t>1130-01</t>
  </si>
  <si>
    <t>ลูกหนี้ค่าส่วนกลาง</t>
  </si>
  <si>
    <t>1151-02</t>
  </si>
  <si>
    <t>ภาษีถูกหัก ณ ที่จ่ายล่วงหน้า</t>
  </si>
  <si>
    <t>1152-00</t>
  </si>
  <si>
    <t>เงินทดลองจ่าย (สำรองจ่าย)</t>
  </si>
  <si>
    <t>1410-07</t>
  </si>
  <si>
    <t>เครื่องตกแต่งสำนักงาน</t>
  </si>
  <si>
    <t>2120-02</t>
  </si>
  <si>
    <t>เช็คจ่ายล่วงหน้า</t>
  </si>
  <si>
    <t>2131-02</t>
  </si>
  <si>
    <t>ค่าเก็บขยะค้างจ่าย</t>
  </si>
  <si>
    <t>2131-03</t>
  </si>
  <si>
    <t>ค่าบริการดูแลสระว่ายน้ำค้างจ่าย</t>
  </si>
  <si>
    <t>2131-04</t>
  </si>
  <si>
    <t>ค่ารักษาความปลอดภัยค้างจ่าย</t>
  </si>
  <si>
    <t>2131-06</t>
  </si>
  <si>
    <t>ค่าไฟฟ้าค้างจ่าย</t>
  </si>
  <si>
    <t>2131-08</t>
  </si>
  <si>
    <t>ค่าดูแลส่วนกลางค้างจ่าย</t>
  </si>
  <si>
    <t xml:space="preserve">2131-11 </t>
  </si>
  <si>
    <t>ค่าบริการทำบัญชีค้างจ่าย</t>
  </si>
  <si>
    <t>2133-01</t>
  </si>
  <si>
    <t>รายได้ค่าส่วนกลางไม่ทราบชือ</t>
  </si>
  <si>
    <t>2133-02</t>
  </si>
  <si>
    <t>ค่าส่วนกลางรับล่วงหน้า</t>
  </si>
  <si>
    <t>3100-00</t>
  </si>
  <si>
    <t>เงินสนับสนุนจากโครงการ</t>
  </si>
  <si>
    <t>3200-00</t>
  </si>
  <si>
    <t>รายรับมากกว่ารายจ่ายต้นงวด</t>
  </si>
  <si>
    <t>4100-01</t>
  </si>
  <si>
    <t>รายรับค่าส่วนกลาง</t>
  </si>
  <si>
    <t>4100-02</t>
  </si>
  <si>
    <t>รายรับอื่นๆ</t>
  </si>
  <si>
    <t>4200-01</t>
  </si>
  <si>
    <t>ดอกเบี้ยรับ</t>
  </si>
  <si>
    <t>5110-09</t>
  </si>
  <si>
    <t>ส่วนลดรับ</t>
  </si>
  <si>
    <t>5320-02</t>
  </si>
  <si>
    <t>ค่าอะไหล่ซ่อมบำรุงและค่าซ่อมแซมอื่นๆ</t>
  </si>
  <si>
    <t>5320-03</t>
  </si>
  <si>
    <t>วัสดุสิ้นเปลือง</t>
  </si>
  <si>
    <t>5320-05</t>
  </si>
  <si>
    <t>ค่าดูแลส่วนกลาง</t>
  </si>
  <si>
    <t>5320-06</t>
  </si>
  <si>
    <t>ค่ารักษาความปลอดภัย</t>
  </si>
  <si>
    <t>5320-07</t>
  </si>
  <si>
    <t>ค่าเก็บขยะ</t>
  </si>
  <si>
    <t>5320-10</t>
  </si>
  <si>
    <t>ค่าบริการดูแลสระว่ายน้ำ</t>
  </si>
  <si>
    <t>5330-01</t>
  </si>
  <si>
    <t>ค่าไฟฟ้า</t>
  </si>
  <si>
    <t>5360-04</t>
  </si>
  <si>
    <t>ค่าธรรมเนียมธนาคารและอื่นๆ</t>
  </si>
  <si>
    <t>5360-06</t>
  </si>
  <si>
    <t>ค่าบริการทำบัญชี</t>
  </si>
  <si>
    <t>5390-04</t>
  </si>
  <si>
    <t>ค่าใช้จ่ายต้องห้าม</t>
  </si>
  <si>
    <t>นิติบุคคลหมู่บ้านจัดสรร แมกไม้ลีลาวดี</t>
  </si>
  <si>
    <t>สมุดรายวันทั่วไป</t>
  </si>
  <si>
    <t>วันที่</t>
  </si>
  <si>
    <t>เลขที่บัญชี</t>
  </si>
  <si>
    <t>ชื่อบัญชี (เท่านั้น)</t>
  </si>
  <si>
    <t>เดบิท</t>
  </si>
  <si>
    <t xml:space="preserve">เครดิต  </t>
  </si>
  <si>
    <t>28/40</t>
  </si>
  <si>
    <t>คุณโกวิท-คุณศันสนีย์ รัตนมณี</t>
  </si>
  <si>
    <t>28/44</t>
  </si>
  <si>
    <t>28/37</t>
  </si>
  <si>
    <t>คุณวรวุฒิ นาทอง</t>
  </si>
  <si>
    <t>28/96</t>
  </si>
  <si>
    <t>คุณคมกฤษณ์ เรืองเพ็ง</t>
  </si>
  <si>
    <t>คุณกิตติ แสวงภาค</t>
  </si>
  <si>
    <t>คุณวิทยา วัดเข้าหลาม</t>
  </si>
  <si>
    <t>คุณสถิตย์ ปาระพิมพ์</t>
  </si>
  <si>
    <t>คุณศิริพร นามวงษ์</t>
  </si>
  <si>
    <t>คุณพงษ์พัฒนา มาบุญ</t>
  </si>
  <si>
    <t>คุณพิริยะ ทรัพย์เจริญ-คุณเยาวเรศ โกสุมพิทักษ์</t>
  </si>
  <si>
    <t>คุณสิระพัชร์ หน่อแก้ว</t>
  </si>
  <si>
    <t>คุณภควัต สันหนองเมือง</t>
  </si>
  <si>
    <t>คุณธนัญกรณ์ ทาสระคู</t>
  </si>
  <si>
    <t>คุณอวยชัย ลีขสวัสดิ์</t>
  </si>
  <si>
    <t>คุณบุญชู ขาวคม</t>
  </si>
  <si>
    <t>28/84</t>
  </si>
  <si>
    <t>คุณวินัย-คุณนุชนาฎ ลิ้มบุพศิริพร</t>
  </si>
  <si>
    <t>คุณกฤษณะ ฤทธิ์โพธิ์</t>
  </si>
  <si>
    <t>คุณด้ามพรรณ ตั้งทองจิตร-คุณศราวุธ ฑพธาภิรมย์</t>
  </si>
  <si>
    <t>คุณไชยยันต์ แก้วบุญศรี</t>
  </si>
  <si>
    <t>28/118</t>
  </si>
  <si>
    <t>28/1</t>
  </si>
  <si>
    <t>คุณปลื้มจิตร เขตสว่าง</t>
  </si>
  <si>
    <t>28/2</t>
  </si>
  <si>
    <t>คุณธีรภาพ ตาลลักษมณี</t>
  </si>
  <si>
    <t>28/3</t>
  </si>
  <si>
    <t>คุณฉัตร์ชัย วานิชสมบัติ</t>
  </si>
  <si>
    <t>28/4</t>
  </si>
  <si>
    <t>คุณพิพัฒน์ บุญจันทร์</t>
  </si>
  <si>
    <t>28/5</t>
  </si>
  <si>
    <t>คุณเฉลิมเกียรติ และนางนันริญา ราชนาจันทร์</t>
  </si>
  <si>
    <t>28/6</t>
  </si>
  <si>
    <t>คุณทรงเกียรติ ตาดทรัพย์</t>
  </si>
  <si>
    <t>28/7</t>
  </si>
  <si>
    <t>คุณพงษ์พันธ์ หิรินทรานุกูล</t>
  </si>
  <si>
    <t>28/8</t>
  </si>
  <si>
    <t>คุณอนันต์ แจ่มจันทร์</t>
  </si>
  <si>
    <t>28/9</t>
  </si>
  <si>
    <t>คุณพัฒนชญา+คุณธิตินันท์ วงค์บุปผา</t>
  </si>
  <si>
    <t>28/10</t>
  </si>
  <si>
    <t>คุณอัญญารัตน์ ขอดแก้ว</t>
  </si>
  <si>
    <t>28/11</t>
  </si>
  <si>
    <t>คุณกนกวรรณ แลมเบิร์ต</t>
  </si>
  <si>
    <t>28/12</t>
  </si>
  <si>
    <t>คุณพิษณุ ขำศรีบุศ</t>
  </si>
  <si>
    <t>28/13</t>
  </si>
  <si>
    <t>28/14</t>
  </si>
  <si>
    <t>28/15</t>
  </si>
  <si>
    <t>คุณกนกลักษณ์ วิลเลี่ยมส์</t>
  </si>
  <si>
    <t>28/16</t>
  </si>
  <si>
    <t>28/17</t>
  </si>
  <si>
    <t>คุณศิวกร รัตนประดิษฐ์</t>
  </si>
  <si>
    <t>28/18</t>
  </si>
  <si>
    <t>คุณพงษ์ศักดิ์ วัฒนจรูญโรจน์</t>
  </si>
  <si>
    <t>28/19</t>
  </si>
  <si>
    <t>คุณนิกร คาดสันเทียะ</t>
  </si>
  <si>
    <t>28/20</t>
  </si>
  <si>
    <t>คุณนันทรัตน์ เชียววัฒนะ</t>
  </si>
  <si>
    <t>28/21</t>
  </si>
  <si>
    <t>คุณสุทัศน์ หรือสุวรรณ-คุณอัญชลี จิตรเอื้อ</t>
  </si>
  <si>
    <t>28/22</t>
  </si>
  <si>
    <t>คุณสมหมาย เงินสมบัติ</t>
  </si>
  <si>
    <t>28/23</t>
  </si>
  <si>
    <t>28/24</t>
  </si>
  <si>
    <t>คุณเสาวลักษณ์ บวรกุลพาณิช</t>
  </si>
  <si>
    <t>28/25</t>
  </si>
  <si>
    <t>คุณฐานันดร์ ไอยราพงศ์</t>
  </si>
  <si>
    <t>28/26</t>
  </si>
  <si>
    <t>คุณอนุชิต ทองจันดี</t>
  </si>
  <si>
    <t>28/27</t>
  </si>
  <si>
    <t>คุณประวิทย์ จิตประสงค์</t>
  </si>
  <si>
    <t>28/28</t>
  </si>
  <si>
    <t>28/29</t>
  </si>
  <si>
    <t>คุณชญาภา มณีรัตน์</t>
  </si>
  <si>
    <t>28/30</t>
  </si>
  <si>
    <t>คุณชลาลัย เสมอสุข</t>
  </si>
  <si>
    <t>28/31</t>
  </si>
  <si>
    <t>คุณจักรพงศ์ สุขสวัสดิ์</t>
  </si>
  <si>
    <t>28/32</t>
  </si>
  <si>
    <t>คุณปรากร ฤกษ์งาม</t>
  </si>
  <si>
    <t>28/33</t>
  </si>
  <si>
    <t>คุณนฤมล ศรีแก้วแดง</t>
  </si>
  <si>
    <t>28/34</t>
  </si>
  <si>
    <t>คุณพงษ์ศักดิ์ พิไลวงศ์</t>
  </si>
  <si>
    <t>28/35</t>
  </si>
  <si>
    <t>28/36</t>
  </si>
  <si>
    <t>คุณชาตรี เคนพล</t>
  </si>
  <si>
    <t>28/38</t>
  </si>
  <si>
    <t>คุณอดุลย์ แก้วอำไพ</t>
  </si>
  <si>
    <t>28/39</t>
  </si>
  <si>
    <t>28/41</t>
  </si>
  <si>
    <t>28/42</t>
  </si>
  <si>
    <t>คุณสุภาภรณ์ ใจตั้ง</t>
  </si>
  <si>
    <t>28/43</t>
  </si>
  <si>
    <t>คุณฉัตรชัย ไชยศิลป์</t>
  </si>
  <si>
    <t>28/45</t>
  </si>
  <si>
    <t>คุณคฑาวุธ พิมลศรี</t>
  </si>
  <si>
    <t>28/46</t>
  </si>
  <si>
    <t>คุณสุธาสินี แซ่อุ้ย</t>
  </si>
  <si>
    <t>28/47</t>
  </si>
  <si>
    <t>คุณครรชิต การะเกษ</t>
  </si>
  <si>
    <t>28/48</t>
  </si>
  <si>
    <t>28/49</t>
  </si>
  <si>
    <t>คุณอารักษ์ กัญฑารัตน์</t>
  </si>
  <si>
    <t>28/50</t>
  </si>
  <si>
    <t>คุณดามพ์ ดุริยะกรกุล</t>
  </si>
  <si>
    <t>28/51</t>
  </si>
  <si>
    <t>คุณกัญจน์ชญา เสาวกุล</t>
  </si>
  <si>
    <t>28/52</t>
  </si>
  <si>
    <t>ว่าที่ร.ต.ศราวุธ ไตยสุวรรณ</t>
  </si>
  <si>
    <t>28/53</t>
  </si>
  <si>
    <t>28/54</t>
  </si>
  <si>
    <t>คุณนาตยา-คุณนนทิยา บุญประคม</t>
  </si>
  <si>
    <t>28/55</t>
  </si>
  <si>
    <t>คุณชาญชัย ตนะศุภผล</t>
  </si>
  <si>
    <t>28/56</t>
  </si>
  <si>
    <t>นายญัชพล ภู่ถาวร</t>
  </si>
  <si>
    <t>28/57</t>
  </si>
  <si>
    <t>คุณสิปปกร-คุณนิตยา รัตนพันธุ์</t>
  </si>
  <si>
    <t>28/58</t>
  </si>
  <si>
    <t>คุณอภิลักษณ์ เหมมาลา</t>
  </si>
  <si>
    <t>28/59</t>
  </si>
  <si>
    <t>คุณสมควร สิงห์ชม</t>
  </si>
  <si>
    <t>28/61</t>
  </si>
  <si>
    <t>คุณชานนท์ นนทรังษี</t>
  </si>
  <si>
    <t>28/63</t>
  </si>
  <si>
    <t>คุณธนิต สุขสำราญ</t>
  </si>
  <si>
    <t>28/64</t>
  </si>
  <si>
    <t>คุณพนมพร บุญแต่ง</t>
  </si>
  <si>
    <t>28/65</t>
  </si>
  <si>
    <t>คุณณัฐธีร์ เลิศรัตน์วัฒนา</t>
  </si>
  <si>
    <t>28/66</t>
  </si>
  <si>
    <t>คุณอนุชาติ เสาร์คำ</t>
  </si>
  <si>
    <t>28/67</t>
  </si>
  <si>
    <t>คุณฬุริยา หิมะชาติ</t>
  </si>
  <si>
    <t>28/68</t>
  </si>
  <si>
    <t>คุณกิตติภูมิ กาญจนจิรวงศ์</t>
  </si>
  <si>
    <t>28/69</t>
  </si>
  <si>
    <t>คุณศักดา ไฮงาม</t>
  </si>
  <si>
    <t>28/70</t>
  </si>
  <si>
    <t>คุณธเนศ เอี่ยมเจริญ</t>
  </si>
  <si>
    <t>28/71</t>
  </si>
  <si>
    <t>คุณรัฐพล สุวรรณ</t>
  </si>
  <si>
    <t>28/72</t>
  </si>
  <si>
    <t>คุณสุพัตรา มงคลสหกุล</t>
  </si>
  <si>
    <t>28/73</t>
  </si>
  <si>
    <t>คุณสรรชัย-คุณโสภณ สายยศ</t>
  </si>
  <si>
    <t>28/74</t>
  </si>
  <si>
    <t>คุณวุฒินันท์ สงนารถ</t>
  </si>
  <si>
    <t>28/75</t>
  </si>
  <si>
    <t>คุณภาสิกร มานนท์</t>
  </si>
  <si>
    <t>28/76</t>
  </si>
  <si>
    <t>คุณสุจิตรา เนินคีริ</t>
  </si>
  <si>
    <t>28/77</t>
  </si>
  <si>
    <t>คุณถวิล เคสา</t>
  </si>
  <si>
    <t>28/78</t>
  </si>
  <si>
    <t>คุณเกียรติชัย การรุ่งเรือง-คุณศศิธร เศียรศิริบัณฑิต</t>
  </si>
  <si>
    <t>28/79</t>
  </si>
  <si>
    <t>คุณชนะ ศรีคำ</t>
  </si>
  <si>
    <t>28/80</t>
  </si>
  <si>
    <t>คุณบุรินทร์ โพธิจันดี</t>
  </si>
  <si>
    <t>28/81</t>
  </si>
  <si>
    <t>28/82</t>
  </si>
  <si>
    <t>คุณประภัสสร บุญบันดล</t>
  </si>
  <si>
    <t>28/83</t>
  </si>
  <si>
    <t>คุณพงษ์พิชญ์-คุณชลธิดา บุญศิริ</t>
  </si>
  <si>
    <t>คุณคงกฤษณ์ กาญจนพฤกษ์</t>
  </si>
  <si>
    <t>28/85</t>
  </si>
  <si>
    <t>คุณเรืองชัย ศรีเมือง</t>
  </si>
  <si>
    <t>28/86</t>
  </si>
  <si>
    <t>คุณสุกิจ หมื่นยศ</t>
  </si>
  <si>
    <t>28/87</t>
  </si>
  <si>
    <t>พ.จ.ท.สุพจน์ เงินเชื้อ</t>
  </si>
  <si>
    <t>28/88</t>
  </si>
  <si>
    <t>คุณณัฐ สมานพิบูรณ์</t>
  </si>
  <si>
    <t>28/89</t>
  </si>
  <si>
    <t>คุณวีระพงษ์ ขันติกุล</t>
  </si>
  <si>
    <t>28/92</t>
  </si>
  <si>
    <t>คุณทรงเดช กันทาสุวรรณ์</t>
  </si>
  <si>
    <t>28/93</t>
  </si>
  <si>
    <t>คุณวิบูลย์ ฤทธิ์ทองพิทักษ์</t>
  </si>
  <si>
    <t>28/94</t>
  </si>
  <si>
    <t>คุณธวัชชัย สมสิน</t>
  </si>
  <si>
    <t>28/95</t>
  </si>
  <si>
    <t>28/97</t>
  </si>
  <si>
    <t>คุณพิชชา ขำสุวรรณ</t>
  </si>
  <si>
    <t>28/98</t>
  </si>
  <si>
    <t>คุณณัฏฐชัย ปรีดีสนิท</t>
  </si>
  <si>
    <t>28/99</t>
  </si>
  <si>
    <t>คุณกัญพิสิษฐ์ ธนเกียรติชูโชติ</t>
  </si>
  <si>
    <t>28/100</t>
  </si>
  <si>
    <t>28/101</t>
  </si>
  <si>
    <t>คุณธัญพร โชคศิริภาวรตาซเซ</t>
  </si>
  <si>
    <t>28/102</t>
  </si>
  <si>
    <t>คุณรุ่งทิพา อินบัว</t>
  </si>
  <si>
    <t>28/103</t>
  </si>
  <si>
    <t>คุณดนัย ฮาวต่อมแก้ว</t>
  </si>
  <si>
    <t>28/104</t>
  </si>
  <si>
    <t>คุณรัฐพงศ์ สาระสิทธิ์</t>
  </si>
  <si>
    <t>28/105</t>
  </si>
  <si>
    <t>คุณรัสรินทร์ ปัญญาส่งสวัสดิ์</t>
  </si>
  <si>
    <t>28/106</t>
  </si>
  <si>
    <t>คุณนฤมล-คุณสัญญา คำภิลัง คุณชัยญา สิงห์ระกุล</t>
  </si>
  <si>
    <t>28/107</t>
  </si>
  <si>
    <t>คุณสมศักดิ์-คุณสวาท เลิศเจริญเสริมสุข</t>
  </si>
  <si>
    <t>28/108</t>
  </si>
  <si>
    <t>คุณสุกิจ พยัฆศิริ</t>
  </si>
  <si>
    <t>28/109</t>
  </si>
  <si>
    <t>คุณเสกสิทธิ์ คำธานี</t>
  </si>
  <si>
    <t>28/110</t>
  </si>
  <si>
    <t>คุณเศกสิทธิ์ คำมีมา</t>
  </si>
  <si>
    <t>28/111</t>
  </si>
  <si>
    <t>คุณพรทวี ศรีดี</t>
  </si>
  <si>
    <t>28/112</t>
  </si>
  <si>
    <t>คุณประจักษ์ เนื่องละออ-คุณวนิดา เส็งนิสัย</t>
  </si>
  <si>
    <t>28/113</t>
  </si>
  <si>
    <t>คุณพวงพุฒ คาร์เตอร์</t>
  </si>
  <si>
    <t>28/114</t>
  </si>
  <si>
    <t>คุณธีระกุล เข็มนาค</t>
  </si>
  <si>
    <t>28/115</t>
  </si>
  <si>
    <t>คุณสุนทร ชอนขุนทด</t>
  </si>
  <si>
    <t>28/116</t>
  </si>
  <si>
    <t>คุณสุกุลตลา บุรจิแอร์</t>
  </si>
  <si>
    <t>28/117</t>
  </si>
  <si>
    <t>คุณภานุรังสิทธิ์-คุณภญาดา หมื่นจันทร์</t>
  </si>
  <si>
    <t>คุณแสงเดือน เครือปันแก้ว</t>
  </si>
  <si>
    <t>28/119</t>
  </si>
  <si>
    <t>คุณนิรดา เณรนุ่ม</t>
  </si>
  <si>
    <t>28/120</t>
  </si>
  <si>
    <t>คุณเชาว์วัศ-คุณสุวภาพ เวชทัศน์</t>
  </si>
  <si>
    <t>28/121</t>
  </si>
  <si>
    <t>คุณณัฐพงษ์ ศรีไชยวาน</t>
  </si>
  <si>
    <t>28/122</t>
  </si>
  <si>
    <t>28/123</t>
  </si>
  <si>
    <t>คุณภาสกร ชาญบรรยง</t>
  </si>
  <si>
    <t>28/124</t>
  </si>
  <si>
    <t>คุณสุริยา บุญเจริญ</t>
  </si>
  <si>
    <t>28/125</t>
  </si>
  <si>
    <t>คุณวรวิทย์ ทักษิณาจารี</t>
  </si>
  <si>
    <t>28/126</t>
  </si>
  <si>
    <t>คุณปิยณัฐ ปัญญาสวัสดิ์</t>
  </si>
  <si>
    <t>28/127</t>
  </si>
  <si>
    <t>คุณภานุมาศ ธนาธรศิริยุทธ์</t>
  </si>
  <si>
    <t>28/128</t>
  </si>
  <si>
    <t>คุณกมลวรรณ แก้วเพ็ชร์</t>
  </si>
  <si>
    <t>28/129</t>
  </si>
  <si>
    <t>คุณจิระศักดิ์ จันทร์โท</t>
  </si>
  <si>
    <t>28/130</t>
  </si>
  <si>
    <t>คุณณัฐพงศ์ สุวรรณมณี</t>
  </si>
  <si>
    <t>28/131</t>
  </si>
  <si>
    <t>คุณอรรณพ แสงประทีป</t>
  </si>
  <si>
    <t>28/132</t>
  </si>
  <si>
    <t>คุณเกียงไกร ไชยเดช</t>
  </si>
  <si>
    <t>28/134</t>
  </si>
  <si>
    <t>คุณธวัชชัย จิวเข็ม</t>
  </si>
  <si>
    <t>28/135</t>
  </si>
  <si>
    <t>คุณณัฐพงษ์</t>
  </si>
  <si>
    <t>28/136</t>
  </si>
  <si>
    <t>คุณวัชระ คุนุ</t>
  </si>
  <si>
    <t>28/137</t>
  </si>
  <si>
    <t>คุณวชิระ ช่างแก้ว</t>
  </si>
  <si>
    <t>28/138</t>
  </si>
  <si>
    <t>คุณกิตติศักดิ์ ทรัพย์ประเสริฐ</t>
  </si>
  <si>
    <t>28/139</t>
  </si>
  <si>
    <t>คุณอภิกฤช อำนาจช่วย</t>
  </si>
  <si>
    <t>28/140</t>
  </si>
  <si>
    <t>คุณพงศกร-คุณปิยะพร ปาเลิง</t>
  </si>
  <si>
    <t>28/141</t>
  </si>
  <si>
    <t>28/143</t>
  </si>
  <si>
    <t>คุณอาทิตย์ แจ่มโกมัย</t>
  </si>
  <si>
    <t>28/144</t>
  </si>
  <si>
    <t>คุณทวีพร-คุณวรรณิษา เพลียศรี</t>
  </si>
  <si>
    <t>28/145</t>
  </si>
  <si>
    <t>คุณนวลจันทร์ เอี่ยมศุภนิมิตร</t>
  </si>
  <si>
    <t>28/146</t>
  </si>
  <si>
    <t>คุณอภิชาติ พูนแก้ว</t>
  </si>
  <si>
    <t>28/147</t>
  </si>
  <si>
    <t>คุณศักดิชัย ไชยเผือก</t>
  </si>
  <si>
    <t>28/148</t>
  </si>
  <si>
    <t>คุณวรศิลป์ แก้วลังกา-คุณอรอนงค์ ตั้งเจริญวัฒนากูร</t>
  </si>
  <si>
    <t>28/149</t>
  </si>
  <si>
    <t>คุณปิยะ ศรีโชค</t>
  </si>
  <si>
    <t>28/150</t>
  </si>
  <si>
    <t>คุณสุรัตน์ พันธุ์แย้มมาลี</t>
  </si>
  <si>
    <t>28/151</t>
  </si>
  <si>
    <t>คุฯมณีจันทร์-คุณฤทธิ กมลรัตนโยธิน</t>
  </si>
  <si>
    <t>28/152</t>
  </si>
  <si>
    <t>คุณอำนาจ โพธิ์จันทร์</t>
  </si>
  <si>
    <t>28/153</t>
  </si>
  <si>
    <t>คุณวิษา มีมาก</t>
  </si>
  <si>
    <t>28/154</t>
  </si>
  <si>
    <t>คุณพีรภัทร์ ศัสตราพฤกษ์</t>
  </si>
  <si>
    <t>28/155</t>
  </si>
  <si>
    <t>28/156</t>
  </si>
  <si>
    <t>คุณสุริยา ใจมา</t>
  </si>
  <si>
    <t>28/157</t>
  </si>
  <si>
    <t>คุณเพ็ญศรี ศรีละ</t>
  </si>
  <si>
    <t>28/158</t>
  </si>
  <si>
    <t>คุณชัชวาล ธัญญวรินทิพย์</t>
  </si>
  <si>
    <t>ไม่ทราบชื่อ</t>
  </si>
  <si>
    <t>28/60</t>
  </si>
  <si>
    <t>28/62</t>
  </si>
  <si>
    <t>28/90</t>
  </si>
  <si>
    <t>28/91</t>
  </si>
  <si>
    <t>28/142</t>
  </si>
  <si>
    <t>นาย ณรงค์ วงศ์ประเสริฐ</t>
  </si>
  <si>
    <t xml:space="preserve">ชื่อบัญชี                                   </t>
  </si>
  <si>
    <t>คำอธิบาย</t>
  </si>
  <si>
    <t>รายละเอียด</t>
  </si>
  <si>
    <t>คุณธิติพงศ์  เลิศรัตน์วัฒนา</t>
  </si>
  <si>
    <t>คุณเกียรติภูมิ วิรติภูมิ</t>
  </si>
  <si>
    <t>รับชำระค่าส่วนกลางประจำปี 2563</t>
  </si>
  <si>
    <t>รับชำระค่าส่วนกลางประจำเดือน มกราคม 2563</t>
  </si>
  <si>
    <t>รับชำระค่าส่วนกลางประจำเดือน กุมภาพันธ์ 2563</t>
  </si>
  <si>
    <t>คุณศริตวรรธน์ ศรีวัฒนวรกุล</t>
  </si>
  <si>
    <t>ธนาคารกสิกรไทย CA-040-1-57563-4</t>
  </si>
  <si>
    <t>ธนาคารกสิกรไทย SA-040-1-56500-0</t>
  </si>
  <si>
    <t>Debit (YTD)</t>
  </si>
  <si>
    <t>Credit (YTD)</t>
  </si>
  <si>
    <t>Balance</t>
  </si>
  <si>
    <t>Chart of accounts</t>
  </si>
  <si>
    <t>ไว้แนบตั้งปรับปรุงลูกหนี้ 2562</t>
  </si>
  <si>
    <t>2131-09</t>
  </si>
  <si>
    <t>ค่าดูแลส่วนกลางรับล่วงหน้า</t>
  </si>
  <si>
    <t>คุณอภิสรา เหยือกเงิน</t>
  </si>
  <si>
    <t>ไม่พบรายชื่อผู้อยู่อาศัย</t>
  </si>
  <si>
    <t>2131-11</t>
  </si>
  <si>
    <t xml:space="preserve">รับชำระค่าส่วนกลางประจำปี 2563 </t>
  </si>
  <si>
    <t>รับชำระค่าส่วนกลางประจำเดือน ธันวาคม 2562</t>
  </si>
  <si>
    <t>รับชำระค่าส่วนกลางประจำเดือน มกราคม - มีนาคม 2563</t>
  </si>
  <si>
    <t>รับชำระค่าส่วนกลางเดือน พฤศจิกายน 2562</t>
  </si>
  <si>
    <t>รับชำระค่าส่วนกลางประจำเดือน พฤศจิกายน - ธันวาคม 2562</t>
  </si>
  <si>
    <t>รับชำระค่าส่วนกลางประจำเดือน ตุลาคม - ธันวาคม 2562</t>
  </si>
  <si>
    <t>รับชำระค่าส่วนกลางเดือน มกราคม 2563</t>
  </si>
  <si>
    <t>รับชำระค่าส่วนกลางประจำเดือน มิถุนายน - ธันวาคม 2562</t>
  </si>
  <si>
    <t>รับชำระค่าส่วนกลางประจำเดือน ตุลาคม 2562</t>
  </si>
  <si>
    <t>รับชำระค่าส่วนกลางประจำเดือน  ตุลาคม - ธันวาคม 2562</t>
  </si>
  <si>
    <t>รับชำระค่าส่วนกลางประจำเดือน ธันวาคม 2562 และ  มกราคม 2563</t>
  </si>
  <si>
    <t>ไม่ทราบ</t>
  </si>
  <si>
    <t>29/02/2563</t>
  </si>
  <si>
    <t>รับชำระค่าส่วนกลางประจำเดือน มกราคม และ กุมภาพันธ์ 2563</t>
  </si>
  <si>
    <t>รับชำระค่าส่วนกลางประจำเดือน ธันวาคม 2561</t>
  </si>
  <si>
    <t>รับชำระค่าส่วนกลางประจำปี 2562</t>
  </si>
  <si>
    <t>รับชำระค่าส่วนกลางประจำเดือน มกราคม 2563  &amp; กุมภาพันธ์ 2563</t>
  </si>
  <si>
    <t>รับชำระค่าส่วนกลางประจำเดือน ธันวาคม 2562 และ มกราคม 2563</t>
  </si>
  <si>
    <t>รับชำระค่าส่วนกลางประจำเดือน มกราคม 2563 - มิถุนายน 2563</t>
  </si>
  <si>
    <t>รับชำระค่าส่วนกลางไม่ทราบชื่อ 5/2/2563</t>
  </si>
  <si>
    <t>รับชำระค่าส่วนกลางประจำเดือน มกราคม - ธันวาคม 2562</t>
  </si>
  <si>
    <t>รับชำระค่าส่วนกลางไม่ทราบชื่อ 21/2/2563</t>
  </si>
  <si>
    <t>รับชำระค่าส่วนกลางประจำเดือน กันยายน - ธันวาคม 2562</t>
  </si>
  <si>
    <t>รับชำระค่าส่วนกลางประจำเดือน มีนาคม และ เมษายน 2563</t>
  </si>
  <si>
    <t>รับชำระค่าส่วนกลางประจำเดือน มกราคม ถึง มิถุนายน 2563</t>
  </si>
  <si>
    <t>รับชำระค่าส่วนกลางประจำเดือน มีนาคม 2563</t>
  </si>
  <si>
    <t xml:space="preserve">รับชำระค่าส่วนกลางประจำเดือน ธันวาคม 2562 </t>
  </si>
  <si>
    <t>รับชำระค่าส่วนกลางประจำเดือน  มกราคม 2563</t>
  </si>
  <si>
    <t>เลขที่เอกสาร/ใบสำคัญ</t>
  </si>
  <si>
    <t>RV6301001</t>
  </si>
  <si>
    <t>RV6301002</t>
  </si>
  <si>
    <t>RV6301003</t>
  </si>
  <si>
    <t>RV6301004</t>
  </si>
  <si>
    <t>RV6301005</t>
  </si>
  <si>
    <t>RV6301006</t>
  </si>
  <si>
    <t>RV6301007</t>
  </si>
  <si>
    <t>RV6301008</t>
  </si>
  <si>
    <t>RV6301009</t>
  </si>
  <si>
    <t>RV6301010</t>
  </si>
  <si>
    <t>RV6301011</t>
  </si>
  <si>
    <t>RV6301012</t>
  </si>
  <si>
    <t>RV6301013</t>
  </si>
  <si>
    <t>RV6301014</t>
  </si>
  <si>
    <t>RV6301015</t>
  </si>
  <si>
    <t>RV6301016</t>
  </si>
  <si>
    <t>RV6301017</t>
  </si>
  <si>
    <t>RV6301018</t>
  </si>
  <si>
    <t>RV6301019</t>
  </si>
  <si>
    <t>RV6301020</t>
  </si>
  <si>
    <t>RV6301021</t>
  </si>
  <si>
    <t>RV6301022</t>
  </si>
  <si>
    <t>RV6301023</t>
  </si>
  <si>
    <t>RV6301024</t>
  </si>
  <si>
    <t>RV6301025</t>
  </si>
  <si>
    <t>RV6301026</t>
  </si>
  <si>
    <t>RV6301027</t>
  </si>
  <si>
    <t>RV6301028</t>
  </si>
  <si>
    <t>RV6301029</t>
  </si>
  <si>
    <t>RV6301030</t>
  </si>
  <si>
    <t>RV6301031</t>
  </si>
  <si>
    <t>RV6301032</t>
  </si>
  <si>
    <t>RV6301033</t>
  </si>
  <si>
    <t>RV6301034</t>
  </si>
  <si>
    <t>RV6301035</t>
  </si>
  <si>
    <t>RV6301036</t>
  </si>
  <si>
    <t>RV6301037</t>
  </si>
  <si>
    <t>RV6301038</t>
  </si>
  <si>
    <t>RV6301039</t>
  </si>
  <si>
    <t>RV6301040</t>
  </si>
  <si>
    <t>RV6301041</t>
  </si>
  <si>
    <t>RV6301042</t>
  </si>
  <si>
    <t>RV6301043</t>
  </si>
  <si>
    <t>RV6301044</t>
  </si>
  <si>
    <t>RV6301045</t>
  </si>
  <si>
    <t>RV6301046</t>
  </si>
  <si>
    <t>RV6301047</t>
  </si>
  <si>
    <t>RV6301048</t>
  </si>
  <si>
    <t>RV6301049</t>
  </si>
  <si>
    <t>RV6301050</t>
  </si>
  <si>
    <t>RV6301051</t>
  </si>
  <si>
    <t>RV6301052</t>
  </si>
  <si>
    <t>RV6301053</t>
  </si>
  <si>
    <t>RV6301054</t>
  </si>
  <si>
    <t>RV6301055</t>
  </si>
  <si>
    <t>RV6301056</t>
  </si>
  <si>
    <t>RV6301057</t>
  </si>
  <si>
    <t>RV6301058</t>
  </si>
  <si>
    <t>RV6301059</t>
  </si>
  <si>
    <t>RV6301060</t>
  </si>
  <si>
    <t>RV6301061</t>
  </si>
  <si>
    <t>RV6301062</t>
  </si>
  <si>
    <t>RV6301063</t>
  </si>
  <si>
    <t>RV6301064</t>
  </si>
  <si>
    <t>RV6301065</t>
  </si>
  <si>
    <t>RV6301066</t>
  </si>
  <si>
    <t>RV6301067</t>
  </si>
  <si>
    <t>RV6301068</t>
  </si>
  <si>
    <t>RV6301069</t>
  </si>
  <si>
    <t>RV6301070</t>
  </si>
  <si>
    <t>RV6301071</t>
  </si>
  <si>
    <t>RV6301072</t>
  </si>
  <si>
    <t>RV6301073</t>
  </si>
  <si>
    <t>RV6301074</t>
  </si>
  <si>
    <t>RV6301075</t>
  </si>
  <si>
    <t>RV6301076</t>
  </si>
  <si>
    <t>RV6301077</t>
  </si>
  <si>
    <t>RV6301078</t>
  </si>
  <si>
    <t>RV6301079</t>
  </si>
  <si>
    <t>RV6301080</t>
  </si>
  <si>
    <t>RV6301081</t>
  </si>
  <si>
    <t>RV6301082</t>
  </si>
  <si>
    <t>RV6301083</t>
  </si>
  <si>
    <t>RV6301084</t>
  </si>
  <si>
    <t>RV6301085</t>
  </si>
  <si>
    <t>RV6301086</t>
  </si>
  <si>
    <t>RV6301087</t>
  </si>
  <si>
    <t>RV6301088</t>
  </si>
  <si>
    <t>RV6301089</t>
  </si>
  <si>
    <t>RV6301090</t>
  </si>
  <si>
    <t>RV6301091</t>
  </si>
  <si>
    <t>RV6301092</t>
  </si>
  <si>
    <t>RV6301093</t>
  </si>
  <si>
    <t>RV6301094</t>
  </si>
  <si>
    <t>RV6301095</t>
  </si>
  <si>
    <t>RV6302001</t>
  </si>
  <si>
    <t>RV6302002</t>
  </si>
  <si>
    <t>RV6302003</t>
  </si>
  <si>
    <t>RV6302004</t>
  </si>
  <si>
    <t>RV6302005</t>
  </si>
  <si>
    <t>RV6302006</t>
  </si>
  <si>
    <t>RV6302007</t>
  </si>
  <si>
    <t>RV6302008</t>
  </si>
  <si>
    <t>RV6302009</t>
  </si>
  <si>
    <t>RV6302010</t>
  </si>
  <si>
    <t>RV6302011</t>
  </si>
  <si>
    <t>RV6302012</t>
  </si>
  <si>
    <t>RV6302013</t>
  </si>
  <si>
    <t>RV6302014</t>
  </si>
  <si>
    <t>RV6302015</t>
  </si>
  <si>
    <t>RV6302016</t>
  </si>
  <si>
    <t>RV6302017</t>
  </si>
  <si>
    <t>RV6302018</t>
  </si>
  <si>
    <t>RV6302019</t>
  </si>
  <si>
    <t>RV6302020</t>
  </si>
  <si>
    <t>RV6302021</t>
  </si>
  <si>
    <t>RV6302022</t>
  </si>
  <si>
    <t>RV6302023</t>
  </si>
  <si>
    <t>RV6302024</t>
  </si>
  <si>
    <t>RV6302025</t>
  </si>
  <si>
    <t>RV6302026</t>
  </si>
  <si>
    <t>RV6302027</t>
  </si>
  <si>
    <t>RV6302028</t>
  </si>
  <si>
    <t>RV6302029</t>
  </si>
  <si>
    <t>RV6302030</t>
  </si>
  <si>
    <t>RV6302031</t>
  </si>
  <si>
    <t>RV6302032</t>
  </si>
  <si>
    <t>RV6302033</t>
  </si>
  <si>
    <t>RV6302034</t>
  </si>
  <si>
    <t>RV6302035</t>
  </si>
  <si>
    <t>RV6302037</t>
  </si>
  <si>
    <t>RV6302038</t>
  </si>
  <si>
    <t>RV6302039</t>
  </si>
  <si>
    <t>RV6302040</t>
  </si>
  <si>
    <t>RV6302041</t>
  </si>
  <si>
    <t>RV6302042</t>
  </si>
  <si>
    <t>RV6302043</t>
  </si>
  <si>
    <t>RV6302044</t>
  </si>
  <si>
    <t>RV6302045</t>
  </si>
  <si>
    <t>RV6302046</t>
  </si>
  <si>
    <t>RV6302047</t>
  </si>
  <si>
    <t>RV6302048</t>
  </si>
  <si>
    <t>RV6302049</t>
  </si>
  <si>
    <t>RV6302050</t>
  </si>
  <si>
    <t>RV6302051</t>
  </si>
  <si>
    <t>RV6302052</t>
  </si>
  <si>
    <t>RV6302053</t>
  </si>
  <si>
    <t>RV6302054</t>
  </si>
  <si>
    <t>RV6302055</t>
  </si>
  <si>
    <t>RV6302056</t>
  </si>
  <si>
    <t>RV6302057</t>
  </si>
  <si>
    <t>RV6302058</t>
  </si>
  <si>
    <t>RV6302059</t>
  </si>
  <si>
    <t>RV6302060</t>
  </si>
  <si>
    <t>RV6302061</t>
  </si>
  <si>
    <t>RV6302062</t>
  </si>
  <si>
    <t>RV6302063</t>
  </si>
  <si>
    <t>RV6302064</t>
  </si>
  <si>
    <t>RV6302065</t>
  </si>
  <si>
    <t>RV6302066</t>
  </si>
  <si>
    <t>RV6302067</t>
  </si>
  <si>
    <t>RV6302068</t>
  </si>
  <si>
    <t>RV6302069</t>
  </si>
  <si>
    <t>RV6302070</t>
  </si>
  <si>
    <t>RV6302071</t>
  </si>
  <si>
    <t>RV6302072</t>
  </si>
  <si>
    <t>RV6302073</t>
  </si>
  <si>
    <t>RV6302074</t>
  </si>
  <si>
    <t>RV6302075</t>
  </si>
  <si>
    <t>RV6302076</t>
  </si>
  <si>
    <t>RV6302078</t>
  </si>
  <si>
    <t>RV6302079</t>
  </si>
  <si>
    <t>RV6302080</t>
  </si>
  <si>
    <t>RV6302081</t>
  </si>
  <si>
    <t>RV6302082</t>
  </si>
  <si>
    <t>RV6302083</t>
  </si>
  <si>
    <t>RV6302084</t>
  </si>
  <si>
    <t>RV6302085</t>
  </si>
  <si>
    <t>RV6302086</t>
  </si>
  <si>
    <t>RV6302087</t>
  </si>
  <si>
    <t>RV6302088</t>
  </si>
  <si>
    <t>RV6303001</t>
  </si>
  <si>
    <t>RV6303002</t>
  </si>
  <si>
    <t>RV6303003</t>
  </si>
  <si>
    <t>RV6303004</t>
  </si>
  <si>
    <t>RV6303005</t>
  </si>
  <si>
    <t>RV6303006</t>
  </si>
  <si>
    <t>RV6303007</t>
  </si>
  <si>
    <t>RV6303008</t>
  </si>
  <si>
    <t>RV6303009</t>
  </si>
  <si>
    <t>RV6303010</t>
  </si>
  <si>
    <t>RV6303011</t>
  </si>
  <si>
    <t>RV6303012</t>
  </si>
  <si>
    <t>RV6303013</t>
  </si>
  <si>
    <t>RV6303014</t>
  </si>
  <si>
    <t>RV6303015</t>
  </si>
  <si>
    <t>RV6303016</t>
  </si>
  <si>
    <t>RV6303017</t>
  </si>
  <si>
    <t>RV6303018</t>
  </si>
  <si>
    <t>RV6303019</t>
  </si>
  <si>
    <t>RV6303020</t>
  </si>
  <si>
    <t>RV6303021</t>
  </si>
  <si>
    <t>RV6303022</t>
  </si>
  <si>
    <t>RV6303023</t>
  </si>
  <si>
    <t>RV6303024</t>
  </si>
  <si>
    <t>RV6303025</t>
  </si>
  <si>
    <t>RV6303026</t>
  </si>
  <si>
    <t>RV6303027</t>
  </si>
  <si>
    <t>RV6303028</t>
  </si>
  <si>
    <t>RV6303029</t>
  </si>
  <si>
    <t>RV6303030</t>
  </si>
  <si>
    <t>RV6303031</t>
  </si>
  <si>
    <t>RV6303032</t>
  </si>
  <si>
    <t>RV6303033</t>
  </si>
  <si>
    <t>RV6303034</t>
  </si>
  <si>
    <t>RV6303035</t>
  </si>
  <si>
    <t>RV6303036</t>
  </si>
  <si>
    <t>RV6303037</t>
  </si>
  <si>
    <t>RV6303038</t>
  </si>
  <si>
    <t>RV6303039</t>
  </si>
  <si>
    <t>RV6303040</t>
  </si>
  <si>
    <t>RV6303041</t>
  </si>
  <si>
    <t>RV6303042</t>
  </si>
  <si>
    <t>RV6303043</t>
  </si>
  <si>
    <t>RV6303044</t>
  </si>
  <si>
    <t>RV6303045</t>
  </si>
  <si>
    <t>RV6303046</t>
  </si>
  <si>
    <t>RV6303047</t>
  </si>
  <si>
    <t>xx</t>
  </si>
  <si>
    <t>รับชำระค่าส่วนกลางประจำเดือน กรกฎาคม ถึง ธันวาคม 2562</t>
  </si>
  <si>
    <t>รับชำระค่าส่วนกลางประจำเดือน มกราคม ถึง มีนาคม 2563</t>
  </si>
  <si>
    <t>รับชำระค่าส่วนกลางประจำเดือน กรกฎาคม ถึง พฤศจิกายน 2562</t>
  </si>
  <si>
    <t>รับชำระค่าส่วนกลางประจำเดือน กันยายน - ตุลาคม 2562</t>
  </si>
  <si>
    <t>รับชำระค่าส่วนกลางประจำเดือน กุมภาพันธ์ - มีนาคม 2563</t>
  </si>
  <si>
    <t>รับชำระค่าส่วนกลางประจำเดือน xx 2563</t>
  </si>
  <si>
    <t>รับชำระค่าส่วนกลางประจำเดือน มกราคม - กุมภาพันธ์ 2563</t>
  </si>
  <si>
    <t>รับชำระค่าส่วนกลางประจำเดือน ประจำปี 2563</t>
  </si>
  <si>
    <t>รับชำระค่าส่วนกลางประจำเดือน เมษายน 2563</t>
  </si>
  <si>
    <t>RV6304001</t>
  </si>
  <si>
    <t>RV6304002</t>
  </si>
  <si>
    <t>RV6304003</t>
  </si>
  <si>
    <t>RV6304004</t>
  </si>
  <si>
    <t>RV6304005</t>
  </si>
  <si>
    <t>RV6304006</t>
  </si>
  <si>
    <t>RV6304007</t>
  </si>
  <si>
    <t>RV6304008</t>
  </si>
  <si>
    <t>RV6304009</t>
  </si>
  <si>
    <t>RV6304010</t>
  </si>
  <si>
    <t>RV6304011</t>
  </si>
  <si>
    <t>RV6304012</t>
  </si>
  <si>
    <t>RV6304013</t>
  </si>
  <si>
    <t>RV6304014</t>
  </si>
  <si>
    <t>RV6304015</t>
  </si>
  <si>
    <t>RV6304016</t>
  </si>
  <si>
    <t>RV6304017</t>
  </si>
  <si>
    <t>RV6304018</t>
  </si>
  <si>
    <t>RV6304019</t>
  </si>
  <si>
    <t>RV6304020</t>
  </si>
  <si>
    <t>RV6304021</t>
  </si>
  <si>
    <t>RV6304022</t>
  </si>
  <si>
    <t>RV6304023</t>
  </si>
  <si>
    <t>RV6304024</t>
  </si>
  <si>
    <t>RV6304025</t>
  </si>
  <si>
    <t>RV6304026</t>
  </si>
  <si>
    <t>RV6304027</t>
  </si>
  <si>
    <t>RV6304028</t>
  </si>
  <si>
    <t>RV6304029</t>
  </si>
  <si>
    <t>RV6304030</t>
  </si>
  <si>
    <t>RV6304031</t>
  </si>
  <si>
    <t>RV6304032</t>
  </si>
  <si>
    <t>RV6304033</t>
  </si>
  <si>
    <t>ไม่ทราบชื่อผู้โอน</t>
  </si>
  <si>
    <t>รับชำระค่าส่วนกลางประจำเดือน มีนาคม -  เมษายน 2563</t>
  </si>
  <si>
    <t>รับชำระค่าส่วนกลางประจำเดือน เมษายน 2563 - มิถุนายน 2563</t>
  </si>
  <si>
    <t>รับชำระค่าส่วนกลางประจำเดือน มกราคม -  มีนาคม 2563</t>
  </si>
  <si>
    <t>รับชำระค่าส่วนกลางประจำเดือน มกราคม -  กุมภาพันธ์ 2563</t>
  </si>
  <si>
    <t>รับชำระค่าส่วนกลางประจำเดือน มีนาคม - มิถุนายน 2563</t>
  </si>
  <si>
    <t>RVC6301001</t>
  </si>
  <si>
    <t>RVC6301002</t>
  </si>
  <si>
    <t>RVC6301003</t>
  </si>
  <si>
    <t>RVC6301004</t>
  </si>
  <si>
    <t>RVC6301005</t>
  </si>
  <si>
    <t>RVC6301006</t>
  </si>
  <si>
    <t>RVC6301007</t>
  </si>
  <si>
    <t>RVC6301008</t>
  </si>
  <si>
    <t>RVC6301009</t>
  </si>
  <si>
    <t>RVC6301010</t>
  </si>
  <si>
    <t>RVC6301011</t>
  </si>
  <si>
    <t>RVC6301012</t>
  </si>
  <si>
    <t>RVC6301013</t>
  </si>
  <si>
    <t>RVC6301014</t>
  </si>
  <si>
    <t>RVC6301015</t>
  </si>
  <si>
    <t>RVC6301016</t>
  </si>
  <si>
    <t>RVC6301017</t>
  </si>
  <si>
    <t>RVC6301018</t>
  </si>
  <si>
    <t>RVC6301019</t>
  </si>
  <si>
    <t>RVC6302001</t>
  </si>
  <si>
    <t>RVC6302002</t>
  </si>
  <si>
    <t>RVC6302003</t>
  </si>
  <si>
    <t>RVC6302004</t>
  </si>
  <si>
    <t>RVC6302005</t>
  </si>
  <si>
    <t>RVC6302006</t>
  </si>
  <si>
    <t>RVC6302007</t>
  </si>
  <si>
    <t>RVC6302008</t>
  </si>
  <si>
    <t>RVC6302009</t>
  </si>
  <si>
    <t>RVC6302010</t>
  </si>
  <si>
    <t>RVC6302011</t>
  </si>
  <si>
    <t>RVC6302012</t>
  </si>
  <si>
    <t>RVC6302013</t>
  </si>
  <si>
    <t>RVC6302014</t>
  </si>
  <si>
    <t>RVC6302015</t>
  </si>
  <si>
    <t>RVC6302016</t>
  </si>
  <si>
    <t>RVC6303001</t>
  </si>
  <si>
    <t>RVC6303002</t>
  </si>
  <si>
    <t>RVC6303003</t>
  </si>
  <si>
    <t>RVC6303004</t>
  </si>
  <si>
    <t>RVC6303005</t>
  </si>
  <si>
    <t>RVC6303006</t>
  </si>
  <si>
    <t>RVC6303007</t>
  </si>
  <si>
    <t>RVC6303008</t>
  </si>
  <si>
    <t>RVC6303009</t>
  </si>
  <si>
    <t>RVC6303010</t>
  </si>
  <si>
    <t>RVC6303011</t>
  </si>
  <si>
    <t>RVC6303012</t>
  </si>
  <si>
    <t>RVC6303013</t>
  </si>
  <si>
    <t>RVC6303014</t>
  </si>
  <si>
    <t>RVC6303015</t>
  </si>
  <si>
    <t>RVC6303016</t>
  </si>
  <si>
    <t>RVC6304001</t>
  </si>
  <si>
    <t>RVC6304002</t>
  </si>
  <si>
    <t>RVC6304003</t>
  </si>
  <si>
    <t>RVC6304004</t>
  </si>
  <si>
    <t>RVC6304005</t>
  </si>
  <si>
    <t>RVC6304006</t>
  </si>
  <si>
    <t>RVC6304007</t>
  </si>
  <si>
    <t>RVC6304008</t>
  </si>
  <si>
    <t>RVC6304009</t>
  </si>
  <si>
    <t>RVC6304010</t>
  </si>
  <si>
    <t>RVC6304011</t>
  </si>
  <si>
    <t>ค่าเปลี่ยนโคมไฟถนนทั้งหมดและขนกิ่งไม้</t>
  </si>
  <si>
    <t>นายอุดม ทองนำ</t>
  </si>
  <si>
    <t>นายณรงค์ วงศ์ประเสริฐ</t>
  </si>
  <si>
    <t>ค่ารักษาความปลอดภัยเดือนธันวาคม 2562</t>
  </si>
  <si>
    <t>นายธีระ พลทา</t>
  </si>
  <si>
    <t>ค่าทำความสะอาดส่วนกลางหมู่บ้านประจำเดือน ธันวาคม 2562</t>
  </si>
  <si>
    <t>นายพรชัย ร้อยเอก</t>
  </si>
  <si>
    <t>ค่าเก็บขยะ ประจำเดือน ธันวาคม 2562</t>
  </si>
  <si>
    <t>นายรชฏ ญานะ</t>
  </si>
  <si>
    <t>ค่าดูแลสระว่ายน้ำ ประจำเดือน ธันวาคม 2562</t>
  </si>
  <si>
    <t>นางสาว อรอุมา สุวรรณ</t>
  </si>
  <si>
    <t>ค่าไฟฟ้า ประจำเดือน ธันวาคม 2562</t>
  </si>
  <si>
    <t>นายเรืองชีย ศรีเมือง</t>
  </si>
  <si>
    <t>ค่าสาย VCT 2Cx2.5 70 ม้วน และสายไป VCT 2Cx2.5 ซ่อมไฟทั้งหมู่บ้าน</t>
  </si>
  <si>
    <t>งานซ่อมปั้มสระว่ายน้ำ บิลวันที่ 10/12/2562</t>
  </si>
  <si>
    <t>นายชัยวัฒน์ โพธิ์ศรี</t>
  </si>
  <si>
    <t>ค่าป้ายไวนิล - เชิญชวนลูกบ้านทำบุญและเลือกตั้งในเดือนมีนาคม 63</t>
  </si>
  <si>
    <t>ค่ารักษาความปลอดภัยเดือนมกราคม 2563</t>
  </si>
  <si>
    <t>ค่าทำความสะอาดส่วนกลางหมู่บ้านประจำเดือน มกราคม 2563</t>
  </si>
  <si>
    <t>ค่าดูแลสระว่ายน้ำ ประจำเดือน มกราคม 2563</t>
  </si>
  <si>
    <t>ค่าเก็บขยะ ประจำเดือน มกราคม 2563</t>
  </si>
  <si>
    <t>โอนภายใน จากบัญชีออมทรัพย โอนไปบัญชีกระแสรายวัน</t>
  </si>
  <si>
    <t>ค่าไฟฟ้า ประจำเดือน มกราคม 2563</t>
  </si>
  <si>
    <t>บริษัทที่ปรึกษาบัญชีและภาษีอากร พรีเมี่ยม พลัส จำกัด</t>
  </si>
  <si>
    <t>ค่าบริการทำบัญชีสอบทานลูกหนี้ 61,พ.ค.-ธ.ค.62,ม.ค-พ.ค.62, ค่าบริการทำบัญชี ก.ย. -พ.ย.62</t>
  </si>
  <si>
    <t>นางสาว ปัทมา บุญหอมชื่น</t>
  </si>
  <si>
    <t>Advance ค่ากับข้าว อุปกรณ์และสิ่งของต่างสำหรับงานบุญ 01/03/2563</t>
  </si>
  <si>
    <t>ค่ารักษาความปลอดภัยเดือน กุมภาพันธ์ 2563</t>
  </si>
  <si>
    <t>ค่าดูแลสระว่ายน้ำ ประจำเดือน กุมภาพันธ์ 2563</t>
  </si>
  <si>
    <t>ค่าป้ายงดใช้บริการ วางที่สระว่ายน้ำ</t>
  </si>
  <si>
    <t>ค่าทำความสะอาดส่วนกลางหมู่บ้านประจำเดือน กุมภาพันธ์ 2563</t>
  </si>
  <si>
    <t>ค่าไฟฟ้า ประจำเดือน กุมภาพันธ์ 2563 (อรอุมา ออกให้ก่อนและนำมาเบิก)</t>
  </si>
  <si>
    <t>ค่าเก็บขยะ ประจำเดือน กุมภาพันธ์ 2563</t>
  </si>
  <si>
    <t>ค่าบริการออกใบแจ้งหนี้และใบเสร็จ</t>
  </si>
  <si>
    <t>นางสาว ศุภวรรณ มีศิริ</t>
  </si>
  <si>
    <t>นางสาวอารีย์จิตร พลทา</t>
  </si>
  <si>
    <t>JV6301001</t>
  </si>
  <si>
    <t>ปรับปรุงการตั้งค้างชำระ เนื่องจาก ลูกบ้านย้ายมาอยู่ใหม่ (ปรึกษาประธานสรรชัยแล้ว)</t>
  </si>
  <si>
    <t>RV6304034</t>
  </si>
  <si>
    <t>RV6304035</t>
  </si>
  <si>
    <t>RV6304036</t>
  </si>
  <si>
    <t>RV6304037</t>
  </si>
  <si>
    <t>RV6304038</t>
  </si>
  <si>
    <t>RV6304039</t>
  </si>
  <si>
    <t>RV6304040</t>
  </si>
  <si>
    <t>RV6304041</t>
  </si>
  <si>
    <t>RV6304042</t>
  </si>
  <si>
    <t>RV6304043</t>
  </si>
  <si>
    <t>RV6304044</t>
  </si>
  <si>
    <t>RV6304045</t>
  </si>
  <si>
    <t>RV6304046</t>
  </si>
  <si>
    <t>RV6304047</t>
  </si>
  <si>
    <t>RV6304048</t>
  </si>
  <si>
    <t>RV6304049</t>
  </si>
  <si>
    <t>RV6304050</t>
  </si>
  <si>
    <t>RV6304051</t>
  </si>
  <si>
    <t>RV6304052</t>
  </si>
  <si>
    <t>RV6304053</t>
  </si>
  <si>
    <t>RV6304054</t>
  </si>
  <si>
    <t>RV6304055</t>
  </si>
  <si>
    <t>RV6304056</t>
  </si>
  <si>
    <t>RV6304057</t>
  </si>
  <si>
    <t>RV6304058</t>
  </si>
  <si>
    <t>RV6304059</t>
  </si>
  <si>
    <t>RV6304060</t>
  </si>
  <si>
    <t>RV6304061</t>
  </si>
  <si>
    <t>RV6304062</t>
  </si>
  <si>
    <t>ไม่ทราบ-ไม่มีสลิปแจ้ง</t>
  </si>
  <si>
    <t>รับชำระค่าส่วนกลางประจำเดือน พฤษภาคม 2563</t>
  </si>
  <si>
    <t>รับชำระค่าส่วนกลางประจำเดือน มกราคม -  มิถุนายน 2563</t>
  </si>
  <si>
    <t>รับชำระค่าส่วนกลางประจำเดือน มีนาคม - เมษายน 2563</t>
  </si>
  <si>
    <t>RV6305001</t>
  </si>
  <si>
    <t>RV6305002</t>
  </si>
  <si>
    <t>RV6305003</t>
  </si>
  <si>
    <t>RV6305004</t>
  </si>
  <si>
    <t>RV6305005</t>
  </si>
  <si>
    <t>RV6305006</t>
  </si>
  <si>
    <t>RV6305007</t>
  </si>
  <si>
    <t>RV6305008</t>
  </si>
  <si>
    <t>RV6305009</t>
  </si>
  <si>
    <t>RV6305010</t>
  </si>
  <si>
    <t>RV6305011</t>
  </si>
  <si>
    <t>RV6305012</t>
  </si>
  <si>
    <t>RV6305013</t>
  </si>
  <si>
    <t>RV6305014</t>
  </si>
  <si>
    <t>RV6305015</t>
  </si>
  <si>
    <t>RV6305016</t>
  </si>
  <si>
    <t>RV6305017</t>
  </si>
  <si>
    <t>RV6305018</t>
  </si>
  <si>
    <t>RV6305019</t>
  </si>
  <si>
    <t>RV6305020</t>
  </si>
  <si>
    <t>RV6305021</t>
  </si>
  <si>
    <t>RV6305022</t>
  </si>
  <si>
    <t>RV6305023</t>
  </si>
  <si>
    <t>RV6305024</t>
  </si>
  <si>
    <t>RV6305025</t>
  </si>
  <si>
    <t>RV6305026</t>
  </si>
  <si>
    <t>RV6305027</t>
  </si>
  <si>
    <t>RV6305028</t>
  </si>
  <si>
    <t>RV6305029</t>
  </si>
  <si>
    <t>RV6305030</t>
  </si>
  <si>
    <t>RV6305031</t>
  </si>
  <si>
    <t>RV6305032</t>
  </si>
  <si>
    <t>RV6305033</t>
  </si>
  <si>
    <t>RV6305034</t>
  </si>
  <si>
    <t>RV6305035</t>
  </si>
  <si>
    <t>RV6305036</t>
  </si>
  <si>
    <t>RV6305037</t>
  </si>
  <si>
    <t>RV6305038</t>
  </si>
  <si>
    <t>RV6305039</t>
  </si>
  <si>
    <t>RV6305040</t>
  </si>
  <si>
    <t>RV6305041</t>
  </si>
  <si>
    <t>RV6305042</t>
  </si>
  <si>
    <t>RV6305043</t>
  </si>
  <si>
    <t>RV6305044</t>
  </si>
  <si>
    <t>RV6305045</t>
  </si>
  <si>
    <t>RV6305046</t>
  </si>
  <si>
    <t>RV6305047</t>
  </si>
  <si>
    <t>RV6305048</t>
  </si>
  <si>
    <t>RV6305049</t>
  </si>
  <si>
    <t>RV6305050</t>
  </si>
  <si>
    <t>RV6305051</t>
  </si>
  <si>
    <t>RV6305052</t>
  </si>
  <si>
    <t>RV6305053</t>
  </si>
  <si>
    <t>RV6305054</t>
  </si>
  <si>
    <t>RV6305055</t>
  </si>
  <si>
    <t>RV6305056</t>
  </si>
  <si>
    <t>RV6305057</t>
  </si>
  <si>
    <t>RV6305058</t>
  </si>
  <si>
    <t>RV6305059</t>
  </si>
  <si>
    <t>RV6305060</t>
  </si>
  <si>
    <t>ไม่ทราบ-ไม่มีแจ้ง</t>
  </si>
  <si>
    <t>รับชำระค่าส่วนกลางประจำเดือน เมษายน - พฤษภาคม 2563</t>
  </si>
  <si>
    <t>รับชำระค่าส่วนกลางประจำเดือน มีนาคม - พฤษภาคม 2563</t>
  </si>
  <si>
    <t>รับชำระค่าส่วนกลางประจำเดือน มกราคม - พฤษภาคม 2563</t>
  </si>
  <si>
    <t>รับชำระค่าส่วนกลางประจำเดือน เมษายน -  มิถุนายน 2563</t>
  </si>
  <si>
    <t>รับชำระค่าส่วนกลางประจำเดือน พฤษภาคม -  มิถุนายน 2563</t>
  </si>
  <si>
    <t>รับชำระค่าส่วนกลางประจำเดือน มิถุนายน 2563</t>
  </si>
  <si>
    <t>รับชำระค่าส่วนกลางประจำเดือน พฤศจิกายน - ธันวาคม 2562 และ มกราคม - พฤษภาคม 2563</t>
  </si>
  <si>
    <t>รับชำระค่าส่วนกลางประจำเดือน กรกฎาคม - ธันวาคม 2562</t>
  </si>
  <si>
    <t>รับชำระค่าส่วนกลางประจำเดือน กุมภาพันธ์ - เมษายน 2563</t>
  </si>
  <si>
    <t xml:space="preserve">รับชำระค่าส่วนกลางประจำเดือน พฤศจิกายน - ธันวาคม 2562 </t>
  </si>
  <si>
    <t>รับชำระค่าส่วนกลางประจำเดือน  มกราคม - พฤษภาคม 2563</t>
  </si>
  <si>
    <t>PV6301001</t>
  </si>
  <si>
    <t>PV6301002</t>
  </si>
  <si>
    <t>PV6301003</t>
  </si>
  <si>
    <t>PV6301004</t>
  </si>
  <si>
    <t>PV6301005</t>
  </si>
  <si>
    <t>PV6301006</t>
  </si>
  <si>
    <t>PV6301007</t>
  </si>
  <si>
    <t>PV6301008</t>
  </si>
  <si>
    <t>PV6302001</t>
  </si>
  <si>
    <t>PV6302002</t>
  </si>
  <si>
    <t>PV6302003</t>
  </si>
  <si>
    <t>PV6302004</t>
  </si>
  <si>
    <t>PV6302005</t>
  </si>
  <si>
    <t>PV6302006</t>
  </si>
  <si>
    <t>PV6302007</t>
  </si>
  <si>
    <t>PV6302008</t>
  </si>
  <si>
    <t>PV6302009</t>
  </si>
  <si>
    <t xml:space="preserve">เลขที่เอกสาร/อ้างอิง </t>
  </si>
  <si>
    <t>PV6303001</t>
  </si>
  <si>
    <t>PV6303002</t>
  </si>
  <si>
    <t>PV6303003</t>
  </si>
  <si>
    <t>PV6303004</t>
  </si>
  <si>
    <t>PV6303005</t>
  </si>
  <si>
    <t>PV6303006</t>
  </si>
  <si>
    <t>PV6303007</t>
  </si>
  <si>
    <t>ค่าไฟฟ้า ประจำเดือน มีนาคม 2563 (อรอุมา ออกให้ก่อนและนำมาเบิก)</t>
  </si>
  <si>
    <t>PV6304001</t>
  </si>
  <si>
    <t>PV6304002</t>
  </si>
  <si>
    <t>ค่างานซ่อมปั๊มสระว่ายน้ำ บิลตั้งแต่ ม.ค.63</t>
  </si>
  <si>
    <t>ค่าดูแลสระว่ายน้ำ ประจำเดือน มีนาคม 2563</t>
  </si>
  <si>
    <t>ค่ารักษาความปลอดภัยเดือน มีนาคม 2563</t>
  </si>
  <si>
    <t>ค่าทำความสะอาดส่วนกลางหมู่บ้านประจำเดือน มีนาคม 2563</t>
  </si>
  <si>
    <t>ค่าเก็บขยะ ประจำเดือน มีนาคม 2563</t>
  </si>
  <si>
    <t>นายยงยุทธ ยิ่งยง</t>
  </si>
  <si>
    <t>PV6304003</t>
  </si>
  <si>
    <t>PV6304004</t>
  </si>
  <si>
    <t>PV6304005</t>
  </si>
  <si>
    <t>PV6304006</t>
  </si>
  <si>
    <t>PV6305001</t>
  </si>
  <si>
    <t>PV6305002</t>
  </si>
  <si>
    <t>PV6305003</t>
  </si>
  <si>
    <t>PV6305004</t>
  </si>
  <si>
    <t>PV6305005</t>
  </si>
  <si>
    <t>PV6305006</t>
  </si>
  <si>
    <t>ค่าบริการดูแลสระว่ายน้ำ 18-04-20, คลอรีน TCC A 90%</t>
  </si>
  <si>
    <t>ค่าไฟฟ้า ประจำเดือน เมษายน 2563 (อรอุมา ออกให้ก่อนและนำมาเบิก)</t>
  </si>
  <si>
    <t>ค่ารักษาความปลอดภัย ประจำเดือน เมษายน 2563 โอน2รอบเนื่องจากโอนขาด (โอน11/5=38,233.18 และโอน 13/05=581.14)</t>
  </si>
  <si>
    <t>ค่าเก็บขยะ ประจำเดือน เมษายน 2563</t>
  </si>
  <si>
    <t>ค่าทำความสะอาดส่วนกลางหมู่บ้านประจำเดือน  ประจำเดือน เมษายน 2563</t>
  </si>
  <si>
    <t>JV6301002</t>
  </si>
  <si>
    <t>บันทึกค่าใช้จ่ายค้างจ่าย ประจำเดือน มกราคม 2563</t>
  </si>
  <si>
    <t>JV6302001</t>
  </si>
  <si>
    <t>JV6303001</t>
  </si>
  <si>
    <t>บันทึกค่าใช้จ่ายค้างจ่าย ประจำเดือน มีนาคม 2563</t>
  </si>
  <si>
    <t>บันทึกค่าใช้จ่ายค้างจ่าย ประจำเดือน กุมภาพันธ์ 2563</t>
  </si>
  <si>
    <t>JV6304001</t>
  </si>
  <si>
    <t>บันทึกค่าใช้จ่ายค้างจ่าย ประจำเดือนเมษายน 2563</t>
  </si>
  <si>
    <t>บันทึกค่าใช้จ่ายค้างจ่าย ประจำเดือน พฤษภาคม 2563</t>
  </si>
  <si>
    <t>JV6305001</t>
  </si>
  <si>
    <t>ตั้งแต่สวันที่ 1 มกราคม ถึง 31 พฤษภาคม 2563</t>
  </si>
  <si>
    <t>ยอดยกมา ธ.ค.62</t>
  </si>
  <si>
    <t>RV6302023-1</t>
  </si>
  <si>
    <t>รับชำระค่าส่วนกลางประปี 2563</t>
  </si>
  <si>
    <t>โอนคืนเงินสดย่อย โดยอรอุมา สุวรรณ วันที่ 28-02-20</t>
  </si>
  <si>
    <t>JV6305002</t>
  </si>
  <si>
    <t>เคลียร์ advance พี่สรรชัย อ้างอิง PV1912007-Advance เพื่อซื้ออุปกรณ์ปรับปรุงระบบไฟฟ้า</t>
  </si>
  <si>
    <t>5360-07</t>
  </si>
  <si>
    <t>ค่าใช้จ่ายเบ็ดเตล็ด</t>
  </si>
  <si>
    <t>Clear advance ค่ากับข้าว อุปกรณ์และสิ่งของต่างสำหรับงานบุญ 01/03/2563</t>
  </si>
  <si>
    <t>Ref.PV6302009</t>
  </si>
  <si>
    <t>JV6302002</t>
  </si>
  <si>
    <t>JV6303002</t>
  </si>
  <si>
    <t>ม.ค.63</t>
  </si>
  <si>
    <t>ก.พ.63</t>
  </si>
  <si>
    <t>มี.ค.63</t>
  </si>
  <si>
    <t>เม.ย.63</t>
  </si>
  <si>
    <t>พ.ค.63</t>
  </si>
  <si>
    <t>รวมสินทรัพย์</t>
  </si>
  <si>
    <t>รวมหนี้สินและส่วนของหมู่บ้าน</t>
  </si>
  <si>
    <t>ม.ค.63 Dr.</t>
  </si>
  <si>
    <t>ม.ค.63 Cr.</t>
  </si>
  <si>
    <t>ก.พ.63 Dr.</t>
  </si>
  <si>
    <t>ก.พ.63 Cr.</t>
  </si>
  <si>
    <t>มี.ค.63 Dr.</t>
  </si>
  <si>
    <t>มี.ค.63 Cr.</t>
  </si>
  <si>
    <t>เม.ย.63 Dr.</t>
  </si>
  <si>
    <t>เม.ย.63 Cr.</t>
  </si>
  <si>
    <t>พ.ค.63 Dr.</t>
  </si>
  <si>
    <t>พ.ค.63 Cr.</t>
  </si>
  <si>
    <t>รายรับมากกว่า(น้อยกว่า)รายจ่าย</t>
  </si>
  <si>
    <t>Sum DR./CR.</t>
  </si>
  <si>
    <t>ชือบัญชี</t>
  </si>
  <si>
    <t>รายงาน รายรับรายจ่าย</t>
  </si>
  <si>
    <t>รายงานแสดงฐานะทางการเงิน</t>
  </si>
  <si>
    <t>รายงานแสดงฐานะทางการเงิน และ รายรับรายจ่าย มกราคม - พฤษภาคม 2563</t>
  </si>
  <si>
    <t xml:space="preserve">    รวม มกราคม -  พฤษภาคม 2563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</si>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</sst>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2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</font>
    <font>
      <sz val="8"/>
      <name val="Calibri"/>
      <family val="2"/>
      <charset val="222"/>
    </font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4"/>
      <color theme="1"/>
      <name val="Calibri"/>
      <family val="2"/>
      <charset val="22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22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78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7" fillId="0" borderId="0" xfId="0" applyFont="1"/>
    <xf numFmtId="0" fontId="0" fillId="2" borderId="0" xfId="0" applyFill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164" fontId="5" fillId="0" borderId="0" xfId="1" applyFont="1" applyAlignment="1">
      <alignment horizontal="center" vertical="center"/>
    </xf>
    <xf numFmtId="15" fontId="5" fillId="0" borderId="0" xfId="0" applyNumberFormat="1" applyFont="1" applyAlignment="1">
      <alignment horizontal="center" vertical="center"/>
    </xf>
    <xf numFmtId="164" fontId="5" fillId="0" borderId="2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64" fontId="5" fillId="0" borderId="2" xfId="1" applyFont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 applyAlignment="1">
      <alignment vertical="center"/>
    </xf>
    <xf numFmtId="164" fontId="8" fillId="0" borderId="0" xfId="1" applyFont="1"/>
    <xf numFmtId="0" fontId="8" fillId="0" borderId="0" xfId="0" applyFont="1"/>
    <xf numFmtId="164" fontId="8" fillId="0" borderId="0" xfId="0" applyNumberFormat="1" applyFont="1"/>
    <xf numFmtId="164" fontId="9" fillId="0" borderId="2" xfId="1" applyFont="1" applyBorder="1"/>
    <xf numFmtId="0" fontId="9" fillId="0" borderId="2" xfId="0" applyFont="1" applyBorder="1"/>
    <xf numFmtId="164" fontId="3" fillId="0" borderId="0" xfId="1" applyFont="1" applyFill="1"/>
    <xf numFmtId="14" fontId="10" fillId="0" borderId="0" xfId="0" applyNumberFormat="1" applyFont="1"/>
    <xf numFmtId="14" fontId="11" fillId="0" borderId="0" xfId="0" applyNumberFormat="1" applyFont="1"/>
    <xf numFmtId="164" fontId="3" fillId="0" borderId="0" xfId="1" applyFont="1"/>
    <xf numFmtId="0" fontId="11" fillId="0" borderId="0" xfId="0" applyFont="1"/>
    <xf numFmtId="14" fontId="0" fillId="2" borderId="0" xfId="0" applyNumberFormat="1" applyFill="1"/>
    <xf numFmtId="0" fontId="0" fillId="2" borderId="0" xfId="0" applyFill="1" applyAlignment="1">
      <alignment horizontal="center"/>
    </xf>
    <xf numFmtId="0" fontId="7" fillId="2" borderId="0" xfId="0" applyFont="1" applyFill="1"/>
    <xf numFmtId="164" fontId="3" fillId="2" borderId="0" xfId="1" applyFont="1" applyFill="1"/>
    <xf numFmtId="14" fontId="5" fillId="0" borderId="1" xfId="0" applyNumberFormat="1" applyFont="1" applyBorder="1" applyAlignment="1">
      <alignment horizontal="center" vertical="center" wrapText="1"/>
    </xf>
    <xf numFmtId="15" fontId="5" fillId="0" borderId="1" xfId="0" applyNumberFormat="1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4" fontId="10" fillId="2" borderId="0" xfId="0" applyNumberFormat="1" applyFont="1" applyFill="1"/>
    <xf numFmtId="0" fontId="10" fillId="2" borderId="0" xfId="0" applyFont="1" applyFill="1" applyAlignment="1">
      <alignment horizontal="center"/>
    </xf>
    <xf numFmtId="0" fontId="12" fillId="2" borderId="0" xfId="0" applyFont="1" applyFill="1"/>
    <xf numFmtId="0" fontId="10" fillId="2" borderId="0" xfId="0" applyFont="1" applyFill="1"/>
    <xf numFmtId="164" fontId="10" fillId="2" borderId="0" xfId="1" applyFont="1" applyFill="1"/>
    <xf numFmtId="164" fontId="0" fillId="0" borderId="0" xfId="1" applyFont="1"/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164" fontId="0" fillId="0" borderId="5" xfId="1" applyFon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0" borderId="6" xfId="1" applyFont="1" applyBorder="1" applyAlignment="1">
      <alignment vertical="center"/>
    </xf>
    <xf numFmtId="164" fontId="0" fillId="0" borderId="6" xfId="0" applyNumberFormat="1" applyBorder="1" applyAlignment="1">
      <alignment vertical="center"/>
    </xf>
    <xf numFmtId="164" fontId="0" fillId="0" borderId="7" xfId="1" applyFont="1" applyBorder="1" applyAlignment="1">
      <alignment vertical="center"/>
    </xf>
    <xf numFmtId="0" fontId="0" fillId="0" borderId="7" xfId="0" applyBorder="1" applyAlignment="1">
      <alignment vertical="center"/>
    </xf>
    <xf numFmtId="164" fontId="5" fillId="2" borderId="4" xfId="1" applyFont="1" applyFill="1" applyBorder="1" applyAlignment="1">
      <alignment vertical="center"/>
    </xf>
    <xf numFmtId="164" fontId="5" fillId="0" borderId="7" xfId="1" applyFont="1" applyBorder="1" applyAlignment="1">
      <alignment vertical="center"/>
    </xf>
    <xf numFmtId="164" fontId="5" fillId="0" borderId="5" xfId="1" applyFont="1" applyBorder="1" applyAlignment="1">
      <alignment vertical="center"/>
    </xf>
    <xf numFmtId="164" fontId="5" fillId="2" borderId="4" xfId="1" applyFont="1" applyFill="1" applyBorder="1" applyAlignment="1">
      <alignment horizontal="center" vertical="center"/>
    </xf>
    <xf numFmtId="164" fontId="0" fillId="0" borderId="5" xfId="1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164" fontId="13" fillId="0" borderId="5" xfId="0" applyNumberFormat="1" applyFont="1" applyBorder="1" applyAlignment="1">
      <alignment vertical="center"/>
    </xf>
    <xf numFmtId="164" fontId="14" fillId="2" borderId="4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14" fontId="21" fillId="0" borderId="0" xfId="0" applyNumberFormat="1" applyFont="1"/>
    <xf numFmtId="0" fontId="21" fillId="0" borderId="0" xfId="0" applyFont="1"/>
    <xf numFmtId="164" fontId="21" fillId="0" borderId="0" xfId="1" applyFont="1" applyFill="1"/>
    <xf numFmtId="15" fontId="5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FFFF"/>
  </sheetPr>
  <dimension ref="A1:Q999"/>
  <sheetViews>
    <sheetView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L34" sqref="L34"/>
    </sheetView>
  </sheetViews>
  <sheetFormatPr defaultRowHeight="15"/>
  <cols>
    <col min="1" max="1" width="11.28515625" customWidth="1"/>
    <col min="2" max="2" width="13.140625" style="7" hidden="1" customWidth="1"/>
    <col min="3" max="3" width="31.7109375" hidden="1" customWidth="1"/>
    <col min="4" max="4" width="21" hidden="1" customWidth="1"/>
    <col min="5" max="5" width="15.7109375" hidden="1" customWidth="1"/>
    <col min="6" max="6" width="20.28515625" customWidth="1"/>
    <col min="7" max="7" width="38.7109375" hidden="1" customWidth="1"/>
    <col min="8" max="8" width="58.7109375" bestFit="1" customWidth="1"/>
    <col min="9" max="9" width="15.140625" style="23" customWidth="1"/>
    <col min="10" max="10" width="15.85546875" style="23" customWidth="1"/>
    <col min="11" max="11" width="16.7109375" customWidth="1"/>
    <col min="12" max="13" width="12.140625" bestFit="1" customWidth="1"/>
  </cols>
  <sheetData>
    <row r="1" spans="1:13">
      <c r="A1" s="2"/>
      <c r="B1" s="74" t="s">
        <v>62</v>
      </c>
      <c r="C1" s="74"/>
      <c r="D1" s="74"/>
      <c r="E1" s="74"/>
      <c r="F1" s="74"/>
      <c r="G1" s="74"/>
      <c r="H1" s="74"/>
      <c r="I1" s="74"/>
      <c r="J1" s="74"/>
    </row>
    <row r="2" spans="1:13">
      <c r="A2" s="2"/>
      <c r="B2" s="74" t="s">
        <v>63</v>
      </c>
      <c r="C2" s="74"/>
      <c r="D2" s="74"/>
      <c r="E2" s="74"/>
      <c r="F2" s="74"/>
      <c r="G2" s="74"/>
      <c r="H2" s="74"/>
      <c r="I2" s="74"/>
      <c r="J2" s="74"/>
    </row>
    <row r="3" spans="1:13">
      <c r="A3" s="2"/>
      <c r="B3" s="74" t="s">
        <v>969</v>
      </c>
      <c r="C3" s="74"/>
      <c r="D3" s="74"/>
      <c r="E3" s="74"/>
      <c r="F3" s="74"/>
      <c r="G3" s="74"/>
      <c r="H3" s="74"/>
      <c r="I3" s="74"/>
      <c r="J3" s="74"/>
      <c r="L3" s="41"/>
      <c r="M3" s="1"/>
    </row>
    <row r="4" spans="1:13">
      <c r="A4" s="2"/>
      <c r="B4" s="9"/>
      <c r="C4" s="9"/>
      <c r="D4" s="9"/>
      <c r="E4" s="9"/>
      <c r="F4" s="9"/>
      <c r="G4" s="9"/>
      <c r="H4" s="9"/>
      <c r="I4" s="8">
        <f>SUBTOTAL(9,I6:I7183)</f>
        <v>1656293.5700000005</v>
      </c>
      <c r="J4" s="8">
        <f>SUBTOTAL(9,J6:J7183)</f>
        <v>1656293.5700000005</v>
      </c>
      <c r="K4" s="1">
        <f>J4-I4</f>
        <v>0</v>
      </c>
    </row>
    <row r="5" spans="1:13" s="35" customFormat="1" ht="25.5">
      <c r="A5" s="29" t="s">
        <v>64</v>
      </c>
      <c r="B5" s="30" t="s">
        <v>65</v>
      </c>
      <c r="C5" s="31" t="s">
        <v>66</v>
      </c>
      <c r="D5" s="31" t="s">
        <v>427</v>
      </c>
      <c r="E5" s="31" t="s">
        <v>927</v>
      </c>
      <c r="F5" s="31" t="s">
        <v>380</v>
      </c>
      <c r="G5" s="32" t="s">
        <v>378</v>
      </c>
      <c r="H5" s="33" t="s">
        <v>379</v>
      </c>
      <c r="I5" s="34" t="s">
        <v>67</v>
      </c>
      <c r="J5" s="34" t="s">
        <v>68</v>
      </c>
    </row>
    <row r="7" spans="1:13">
      <c r="A7" s="71">
        <v>242158</v>
      </c>
      <c r="B7" s="7" t="s">
        <v>3</v>
      </c>
      <c r="C7" s="3" t="str">
        <f>VLOOKUP(B7,'Accounts chart'!$A:$B,2,FALSE)</f>
        <v>ธนาคารกสิกรไทย SA-040-1-56500-0</v>
      </c>
      <c r="D7" s="3" t="s">
        <v>705</v>
      </c>
      <c r="E7" t="s">
        <v>428</v>
      </c>
      <c r="F7" s="72" t="s">
        <v>178</v>
      </c>
      <c r="G7" t="str">
        <f>VLOOKUP(F7,รายชื่อลูกบ้าน!$A:$B,2,FALSE)</f>
        <v>คุณกัญจน์ชญา เสาวกุล</v>
      </c>
      <c r="H7" s="72" t="s">
        <v>399</v>
      </c>
      <c r="I7" s="73">
        <v>7000</v>
      </c>
      <c r="J7" s="20"/>
      <c r="K7" s="2"/>
    </row>
    <row r="8" spans="1:13">
      <c r="A8" s="2">
        <v>242158</v>
      </c>
      <c r="B8" s="7" t="s">
        <v>3</v>
      </c>
      <c r="C8" s="3" t="str">
        <f>VLOOKUP(B8,'Accounts chart'!$A:$B,2,FALSE)</f>
        <v>ธนาคารกสิกรไทย SA-040-1-56500-0</v>
      </c>
      <c r="D8" s="3" t="s">
        <v>705</v>
      </c>
      <c r="E8" t="s">
        <v>429</v>
      </c>
      <c r="F8" t="s">
        <v>340</v>
      </c>
      <c r="G8" t="str">
        <f>VLOOKUP(F8,รายชื่อลูกบ้าน!$A:$B,2,FALSE)</f>
        <v>คุณอาทิตย์ แจ่มโกมัย</v>
      </c>
      <c r="H8" t="s">
        <v>383</v>
      </c>
      <c r="I8" s="20">
        <v>7001.43</v>
      </c>
      <c r="J8" s="20"/>
      <c r="K8" s="2"/>
    </row>
    <row r="9" spans="1:13">
      <c r="A9" s="2">
        <v>242158</v>
      </c>
      <c r="B9" s="7" t="s">
        <v>3</v>
      </c>
      <c r="C9" s="3" t="str">
        <f>VLOOKUP(B9,'Accounts chart'!$A:$B,2,FALSE)</f>
        <v>ธนาคารกสิกรไทย SA-040-1-56500-0</v>
      </c>
      <c r="D9" s="3" t="s">
        <v>705</v>
      </c>
      <c r="E9" t="s">
        <v>430</v>
      </c>
      <c r="F9" t="s">
        <v>144</v>
      </c>
      <c r="G9" t="str">
        <f>VLOOKUP(F9,รายชื่อลูกบ้าน!$A:$B,2,FALSE)</f>
        <v>คุณชญาภา มณีรัตน์</v>
      </c>
      <c r="H9" t="s">
        <v>383</v>
      </c>
      <c r="I9" s="20">
        <v>7000</v>
      </c>
      <c r="J9" s="20"/>
      <c r="K9" s="2"/>
    </row>
    <row r="10" spans="1:13">
      <c r="A10" s="2">
        <v>242158</v>
      </c>
      <c r="B10" s="7" t="s">
        <v>3</v>
      </c>
      <c r="C10" s="3" t="str">
        <f>VLOOKUP(B10,'Accounts chart'!$A:$B,2,FALSE)</f>
        <v>ธนาคารกสิกรไทย SA-040-1-56500-0</v>
      </c>
      <c r="D10" s="3" t="s">
        <v>705</v>
      </c>
      <c r="E10" t="s">
        <v>431</v>
      </c>
      <c r="F10" t="s">
        <v>279</v>
      </c>
      <c r="G10" t="str">
        <f>VLOOKUP(F10,รายชื่อลูกบ้าน!$A:$B,2,FALSE)</f>
        <v>คุณเสกสิทธิ์ คำธานี</v>
      </c>
      <c r="H10" t="s">
        <v>400</v>
      </c>
      <c r="I10" s="20">
        <v>601.09</v>
      </c>
      <c r="J10" s="20"/>
      <c r="K10" s="21"/>
    </row>
    <row r="11" spans="1:13">
      <c r="A11" s="2">
        <v>242158</v>
      </c>
      <c r="B11" s="7" t="s">
        <v>3</v>
      </c>
      <c r="C11" s="3" t="str">
        <f>VLOOKUP(B11,'Accounts chart'!$A:$B,2,FALSE)</f>
        <v>ธนาคารกสิกรไทย SA-040-1-56500-0</v>
      </c>
      <c r="D11" s="3" t="s">
        <v>705</v>
      </c>
      <c r="E11" t="s">
        <v>432</v>
      </c>
      <c r="F11" t="s">
        <v>183</v>
      </c>
      <c r="G11" t="str">
        <f>VLOOKUP(F11,รายชื่อลูกบ้าน!$A:$B,2,FALSE)</f>
        <v>คุณนาตยา-คุณนนทิยา บุญประคม</v>
      </c>
      <c r="H11" t="s">
        <v>383</v>
      </c>
      <c r="I11" s="20">
        <v>7000</v>
      </c>
      <c r="J11" s="20"/>
      <c r="K11" s="2"/>
    </row>
    <row r="12" spans="1:13">
      <c r="A12" s="2">
        <v>242158</v>
      </c>
      <c r="B12" s="7" t="s">
        <v>34</v>
      </c>
      <c r="C12" s="3" t="str">
        <f>VLOOKUP(B12,'Accounts chart'!$A:$B,2,FALSE)</f>
        <v>รายรับค่าส่วนกลาง</v>
      </c>
      <c r="D12" s="3" t="s">
        <v>705</v>
      </c>
      <c r="E12" t="s">
        <v>428</v>
      </c>
      <c r="F12" t="s">
        <v>178</v>
      </c>
      <c r="G12" t="str">
        <f>VLOOKUP(F12,รายชื่อลูกบ้าน!$A:$B,2,FALSE)</f>
        <v>คุณกัญจน์ชญา เสาวกุล</v>
      </c>
      <c r="H12" t="s">
        <v>399</v>
      </c>
      <c r="I12" s="20"/>
      <c r="J12" s="20">
        <v>7000</v>
      </c>
      <c r="K12" s="2"/>
    </row>
    <row r="13" spans="1:13">
      <c r="A13" s="2">
        <v>242158</v>
      </c>
      <c r="B13" s="7" t="s">
        <v>34</v>
      </c>
      <c r="C13" s="3" t="str">
        <f>VLOOKUP(B13,'Accounts chart'!$A:$B,2,FALSE)</f>
        <v>รายรับค่าส่วนกลาง</v>
      </c>
      <c r="D13" s="3" t="s">
        <v>705</v>
      </c>
      <c r="E13" t="s">
        <v>429</v>
      </c>
      <c r="F13" t="s">
        <v>340</v>
      </c>
      <c r="G13" t="str">
        <f>VLOOKUP(F13,รายชื่อลูกบ้าน!$A:$B,2,FALSE)</f>
        <v>คุณอาทิตย์ แจ่มโกมัย</v>
      </c>
      <c r="H13" t="s">
        <v>383</v>
      </c>
      <c r="I13" s="20"/>
      <c r="J13" s="20">
        <v>7001.43</v>
      </c>
      <c r="K13" s="2"/>
    </row>
    <row r="14" spans="1:13">
      <c r="A14" s="2">
        <v>242158</v>
      </c>
      <c r="B14" s="7" t="s">
        <v>34</v>
      </c>
      <c r="C14" s="3" t="str">
        <f>VLOOKUP(B14,'Accounts chart'!$A:$B,2,FALSE)</f>
        <v>รายรับค่าส่วนกลาง</v>
      </c>
      <c r="D14" s="3" t="s">
        <v>705</v>
      </c>
      <c r="E14" t="s">
        <v>430</v>
      </c>
      <c r="F14" t="s">
        <v>144</v>
      </c>
      <c r="G14" t="str">
        <f>VLOOKUP(F14,รายชื่อลูกบ้าน!$A:$B,2,FALSE)</f>
        <v>คุณชญาภา มณีรัตน์</v>
      </c>
      <c r="H14" t="s">
        <v>383</v>
      </c>
      <c r="I14" s="20"/>
      <c r="J14" s="20">
        <v>7000</v>
      </c>
      <c r="K14" s="2"/>
    </row>
    <row r="15" spans="1:13">
      <c r="A15" s="2">
        <v>242158</v>
      </c>
      <c r="B15" s="7" t="s">
        <v>4</v>
      </c>
      <c r="C15" s="3" t="str">
        <f>VLOOKUP(B15,'Accounts chart'!$A:$B,2,FALSE)</f>
        <v>ลูกหนี้ค่าส่วนกลาง</v>
      </c>
      <c r="D15" s="3" t="s">
        <v>705</v>
      </c>
      <c r="E15" t="s">
        <v>431</v>
      </c>
      <c r="F15" t="s">
        <v>279</v>
      </c>
      <c r="G15" t="str">
        <f>VLOOKUP(F15,รายชื่อลูกบ้าน!$A:$B,2,FALSE)</f>
        <v>คุณเสกสิทธิ์ คำธานี</v>
      </c>
      <c r="H15" t="s">
        <v>400</v>
      </c>
      <c r="I15" s="20"/>
      <c r="J15" s="20">
        <v>601.09</v>
      </c>
      <c r="K15" s="2"/>
    </row>
    <row r="16" spans="1:13">
      <c r="A16" s="2">
        <v>242158</v>
      </c>
      <c r="B16" s="7" t="s">
        <v>34</v>
      </c>
      <c r="C16" s="3" t="str">
        <f>VLOOKUP(B16,'Accounts chart'!$A:$B,2,FALSE)</f>
        <v>รายรับค่าส่วนกลาง</v>
      </c>
      <c r="D16" s="3" t="s">
        <v>705</v>
      </c>
      <c r="E16" t="s">
        <v>432</v>
      </c>
      <c r="F16" t="s">
        <v>183</v>
      </c>
      <c r="G16" t="str">
        <f>VLOOKUP(F16,รายชื่อลูกบ้าน!$A:$B,2,FALSE)</f>
        <v>คุณนาตยา-คุณนนทิยา บุญประคม</v>
      </c>
      <c r="H16" t="s">
        <v>383</v>
      </c>
      <c r="I16" s="20"/>
      <c r="J16" s="20">
        <v>7000</v>
      </c>
      <c r="K16" s="2"/>
    </row>
    <row r="17" spans="1:17">
      <c r="A17" s="2"/>
      <c r="C17" s="3"/>
      <c r="J17" s="20"/>
      <c r="K17" s="20"/>
    </row>
    <row r="18" spans="1:17">
      <c r="A18" s="2"/>
      <c r="C18" s="3"/>
      <c r="I18" s="20"/>
      <c r="J18" s="20"/>
      <c r="K18" s="2"/>
    </row>
    <row r="19" spans="1:17">
      <c r="A19" s="2">
        <v>242159</v>
      </c>
      <c r="B19" s="7" t="s">
        <v>3</v>
      </c>
      <c r="C19" s="3" t="str">
        <f>VLOOKUP(B19,'Accounts chart'!$A:$B,2,FALSE)</f>
        <v>ธนาคารกสิกรไทย SA-040-1-56500-0</v>
      </c>
      <c r="D19" s="3" t="s">
        <v>706</v>
      </c>
      <c r="E19" t="s">
        <v>433</v>
      </c>
      <c r="F19" t="s">
        <v>219</v>
      </c>
      <c r="G19" t="str">
        <f>VLOOKUP(F19,รายชื่อลูกบ้าน!$A:$B,2,FALSE)</f>
        <v>คุณวุฒินันท์ สงนารถ</v>
      </c>
      <c r="H19" t="s">
        <v>383</v>
      </c>
      <c r="I19" s="20">
        <v>7000.63</v>
      </c>
      <c r="J19" s="20"/>
      <c r="K19" s="2"/>
    </row>
    <row r="20" spans="1:17">
      <c r="A20" s="2">
        <v>242159</v>
      </c>
      <c r="B20" s="7" t="s">
        <v>3</v>
      </c>
      <c r="C20" s="3" t="str">
        <f>VLOOKUP(B20,'Accounts chart'!$A:$B,2,FALSE)</f>
        <v>ธนาคารกสิกรไทย SA-040-1-56500-0</v>
      </c>
      <c r="D20" s="3" t="s">
        <v>706</v>
      </c>
      <c r="E20" t="s">
        <v>434</v>
      </c>
      <c r="F20" t="s">
        <v>121</v>
      </c>
      <c r="G20" t="str">
        <f>VLOOKUP(F20,รายชื่อลูกบ้าน!$A:$B,2,FALSE)</f>
        <v>คุณสถิตย์ ปาระพิมพ์</v>
      </c>
      <c r="H20" t="s">
        <v>400</v>
      </c>
      <c r="I20" s="20">
        <v>600</v>
      </c>
      <c r="J20" s="20"/>
      <c r="K20" s="2"/>
    </row>
    <row r="21" spans="1:17">
      <c r="A21" s="2">
        <v>242159</v>
      </c>
      <c r="B21" s="7" t="s">
        <v>3</v>
      </c>
      <c r="C21" s="3" t="str">
        <f>VLOOKUP(B21,'Accounts chart'!$A:$B,2,FALSE)</f>
        <v>ธนาคารกสิกรไทย SA-040-1-56500-0</v>
      </c>
      <c r="D21" s="3" t="s">
        <v>706</v>
      </c>
      <c r="E21" t="s">
        <v>435</v>
      </c>
      <c r="F21" t="s">
        <v>117</v>
      </c>
      <c r="G21" t="str">
        <f>VLOOKUP(F21,รายชื่อลูกบ้าน!$A:$B,2,FALSE)</f>
        <v>คุณธนัญกรณ์ ทาสระคู</v>
      </c>
      <c r="H21" t="s">
        <v>385</v>
      </c>
      <c r="I21" s="20">
        <v>600.13</v>
      </c>
      <c r="J21" s="20"/>
      <c r="K21" s="2"/>
    </row>
    <row r="22" spans="1:17">
      <c r="A22" s="2">
        <v>242159</v>
      </c>
      <c r="B22" s="7" t="s">
        <v>3</v>
      </c>
      <c r="C22" s="3" t="str">
        <f>VLOOKUP(B22,'Accounts chart'!$A:$B,2,FALSE)</f>
        <v>ธนาคารกสิกรไทย SA-040-1-56500-0</v>
      </c>
      <c r="D22" s="3" t="s">
        <v>706</v>
      </c>
      <c r="E22" t="s">
        <v>436</v>
      </c>
      <c r="F22" t="s">
        <v>287</v>
      </c>
      <c r="G22" t="str">
        <f>VLOOKUP(F22,รายชื่อลูกบ้าน!$A:$B,2,FALSE)</f>
        <v>คุณพวงพุฒ คาร์เตอร์</v>
      </c>
      <c r="H22" t="s">
        <v>401</v>
      </c>
      <c r="I22" s="20">
        <v>1801.13</v>
      </c>
      <c r="J22" s="20"/>
      <c r="K22" s="2"/>
    </row>
    <row r="23" spans="1:17">
      <c r="A23" s="2">
        <v>242159</v>
      </c>
      <c r="B23" s="7" t="s">
        <v>3</v>
      </c>
      <c r="C23" s="3" t="str">
        <f>VLOOKUP(B23,'Accounts chart'!$A:$B,2,FALSE)</f>
        <v>ธนาคารกสิกรไทย SA-040-1-56500-0</v>
      </c>
      <c r="D23" s="3" t="s">
        <v>706</v>
      </c>
      <c r="E23" t="s">
        <v>437</v>
      </c>
      <c r="F23" t="s">
        <v>225</v>
      </c>
      <c r="G23" t="str">
        <f>VLOOKUP(F23,รายชื่อลูกบ้าน!$A:$B,2,FALSE)</f>
        <v>คุณถวิล เคสา</v>
      </c>
      <c r="H23" t="s">
        <v>384</v>
      </c>
      <c r="I23" s="20">
        <v>600</v>
      </c>
      <c r="J23" s="20"/>
      <c r="K23" s="2"/>
    </row>
    <row r="24" spans="1:17">
      <c r="A24" s="2">
        <v>242159</v>
      </c>
      <c r="B24" s="7" t="s">
        <v>3</v>
      </c>
      <c r="C24" s="3" t="str">
        <f>VLOOKUP(B24,'Accounts chart'!$A:$B,2,FALSE)</f>
        <v>ธนาคารกสิกรไทย SA-040-1-56500-0</v>
      </c>
      <c r="D24" s="3" t="s">
        <v>706</v>
      </c>
      <c r="E24" t="s">
        <v>438</v>
      </c>
      <c r="F24" t="s">
        <v>365</v>
      </c>
      <c r="G24" t="str">
        <f>VLOOKUP(F24,รายชื่อลูกบ้าน!$A:$B,2,FALSE)</f>
        <v>คุณสุริยา ใจมา</v>
      </c>
      <c r="H24" t="s">
        <v>384</v>
      </c>
      <c r="I24" s="20">
        <v>600</v>
      </c>
      <c r="J24" s="20"/>
      <c r="K24" s="2"/>
      <c r="Q24" t="s">
        <v>1006</v>
      </c>
    </row>
    <row r="25" spans="1:17">
      <c r="A25" s="2">
        <v>242159</v>
      </c>
      <c r="B25" s="7" t="s">
        <v>3</v>
      </c>
      <c r="C25" s="3" t="str">
        <f>VLOOKUP(B25,'Accounts chart'!$A:$B,2,FALSE)</f>
        <v>ธนาคารกสิกรไทย SA-040-1-56500-0</v>
      </c>
      <c r="D25" s="3" t="s">
        <v>706</v>
      </c>
      <c r="E25" t="s">
        <v>439</v>
      </c>
      <c r="F25" t="s">
        <v>267</v>
      </c>
      <c r="G25" t="str">
        <f>VLOOKUP(F25,รายชื่อลูกบ้าน!$A:$B,2,FALSE)</f>
        <v>คุณดนัย ฮาวต่อมแก้ว</v>
      </c>
      <c r="H25" t="s">
        <v>400</v>
      </c>
      <c r="I25" s="20">
        <v>600</v>
      </c>
      <c r="J25" s="20"/>
      <c r="K25" s="21"/>
    </row>
    <row r="26" spans="1:17">
      <c r="A26" s="2">
        <v>242159</v>
      </c>
      <c r="B26" s="7" t="s">
        <v>34</v>
      </c>
      <c r="C26" s="3" t="str">
        <f>VLOOKUP(B26,'Accounts chart'!$A:$B,2,FALSE)</f>
        <v>รายรับค่าส่วนกลาง</v>
      </c>
      <c r="D26" s="3" t="s">
        <v>706</v>
      </c>
      <c r="E26" t="s">
        <v>433</v>
      </c>
      <c r="F26" t="s">
        <v>219</v>
      </c>
      <c r="G26" t="str">
        <f>VLOOKUP(F26,รายชื่อลูกบ้าน!$A:$B,2,FALSE)</f>
        <v>คุณวุฒินันท์ สงนารถ</v>
      </c>
      <c r="H26" t="s">
        <v>383</v>
      </c>
      <c r="I26" s="20"/>
      <c r="J26" s="20">
        <v>7000.63</v>
      </c>
      <c r="K26" s="21"/>
    </row>
    <row r="27" spans="1:17">
      <c r="A27" s="2">
        <v>242159</v>
      </c>
      <c r="B27" s="7" t="s">
        <v>4</v>
      </c>
      <c r="C27" s="3" t="str">
        <f>VLOOKUP(B27,'Accounts chart'!$A:$B,2,FALSE)</f>
        <v>ลูกหนี้ค่าส่วนกลาง</v>
      </c>
      <c r="D27" s="3" t="s">
        <v>706</v>
      </c>
      <c r="E27" t="s">
        <v>434</v>
      </c>
      <c r="F27" t="s">
        <v>121</v>
      </c>
      <c r="G27" t="str">
        <f>VLOOKUP(F27,รายชื่อลูกบ้าน!$A:$B,2,FALSE)</f>
        <v>คุณสถิตย์ ปาระพิมพ์</v>
      </c>
      <c r="H27" t="s">
        <v>400</v>
      </c>
      <c r="I27" s="20"/>
      <c r="J27" s="20">
        <v>600</v>
      </c>
      <c r="K27" s="21"/>
    </row>
    <row r="28" spans="1:17">
      <c r="A28" s="2">
        <v>242159</v>
      </c>
      <c r="B28" s="7" t="s">
        <v>34</v>
      </c>
      <c r="C28" s="3" t="str">
        <f>VLOOKUP(B28,'Accounts chart'!$A:$B,2,FALSE)</f>
        <v>รายรับค่าส่วนกลาง</v>
      </c>
      <c r="D28" s="3" t="s">
        <v>706</v>
      </c>
      <c r="E28" t="s">
        <v>435</v>
      </c>
      <c r="F28" t="s">
        <v>117</v>
      </c>
      <c r="G28" t="str">
        <f>VLOOKUP(F28,รายชื่อลูกบ้าน!$A:$B,2,FALSE)</f>
        <v>คุณธนัญกรณ์ ทาสระคู</v>
      </c>
      <c r="H28" t="s">
        <v>385</v>
      </c>
      <c r="I28" s="20"/>
      <c r="J28" s="20">
        <v>600.13</v>
      </c>
      <c r="K28" s="21"/>
    </row>
    <row r="29" spans="1:17">
      <c r="A29" s="2">
        <v>242159</v>
      </c>
      <c r="B29" s="7" t="s">
        <v>34</v>
      </c>
      <c r="C29" s="3" t="str">
        <f>VLOOKUP(B29,'Accounts chart'!$A:$B,2,FALSE)</f>
        <v>รายรับค่าส่วนกลาง</v>
      </c>
      <c r="D29" s="3" t="s">
        <v>706</v>
      </c>
      <c r="E29" t="s">
        <v>436</v>
      </c>
      <c r="F29" t="s">
        <v>287</v>
      </c>
      <c r="G29" t="str">
        <f>VLOOKUP(F29,รายชื่อลูกบ้าน!$A:$B,2,FALSE)</f>
        <v>คุณพวงพุฒ คาร์เตอร์</v>
      </c>
      <c r="H29" t="s">
        <v>401</v>
      </c>
      <c r="I29" s="20"/>
      <c r="J29" s="20">
        <v>1801.13</v>
      </c>
      <c r="K29" s="21"/>
    </row>
    <row r="30" spans="1:17">
      <c r="A30" s="2">
        <v>242159</v>
      </c>
      <c r="B30" s="7" t="s">
        <v>34</v>
      </c>
      <c r="C30" s="3" t="str">
        <f>VLOOKUP(B30,'Accounts chart'!$A:$B,2,FALSE)</f>
        <v>รายรับค่าส่วนกลาง</v>
      </c>
      <c r="D30" s="3" t="s">
        <v>706</v>
      </c>
      <c r="E30" t="s">
        <v>437</v>
      </c>
      <c r="F30" t="s">
        <v>225</v>
      </c>
      <c r="G30" t="str">
        <f>VLOOKUP(F30,รายชื่อลูกบ้าน!$A:$B,2,FALSE)</f>
        <v>คุณถวิล เคสา</v>
      </c>
      <c r="H30" t="s">
        <v>384</v>
      </c>
      <c r="I30" s="20"/>
      <c r="J30" s="20">
        <v>600</v>
      </c>
      <c r="K30" s="21"/>
    </row>
    <row r="31" spans="1:17">
      <c r="A31" s="2">
        <v>242159</v>
      </c>
      <c r="B31" s="7" t="s">
        <v>34</v>
      </c>
      <c r="C31" s="3" t="str">
        <f>VLOOKUP(B31,'Accounts chart'!$A:$B,2,FALSE)</f>
        <v>รายรับค่าส่วนกลาง</v>
      </c>
      <c r="D31" s="3" t="s">
        <v>706</v>
      </c>
      <c r="E31" t="s">
        <v>438</v>
      </c>
      <c r="F31" t="s">
        <v>365</v>
      </c>
      <c r="G31" t="str">
        <f>VLOOKUP(F31,รายชื่อลูกบ้าน!$A:$B,2,FALSE)</f>
        <v>คุณสุริยา ใจมา</v>
      </c>
      <c r="H31" t="s">
        <v>384</v>
      </c>
      <c r="I31" s="20"/>
      <c r="J31" s="20">
        <v>600</v>
      </c>
      <c r="K31" s="21"/>
    </row>
    <row r="32" spans="1:17">
      <c r="A32" s="2">
        <v>242159</v>
      </c>
      <c r="B32" s="7" t="s">
        <v>4</v>
      </c>
      <c r="C32" s="3" t="str">
        <f>VLOOKUP(B32,'Accounts chart'!$A:$B,2,FALSE)</f>
        <v>ลูกหนี้ค่าส่วนกลาง</v>
      </c>
      <c r="D32" s="3" t="s">
        <v>706</v>
      </c>
      <c r="E32" t="s">
        <v>439</v>
      </c>
      <c r="F32" t="s">
        <v>267</v>
      </c>
      <c r="G32" t="str">
        <f>VLOOKUP(F32,รายชื่อลูกบ้าน!$A:$B,2,FALSE)</f>
        <v>คุณดนัย ฮาวต่อมแก้ว</v>
      </c>
      <c r="H32" t="s">
        <v>400</v>
      </c>
      <c r="I32" s="20"/>
      <c r="J32" s="20">
        <v>600</v>
      </c>
      <c r="K32" s="21"/>
    </row>
    <row r="33" spans="1:11">
      <c r="A33" s="2"/>
      <c r="C33" s="3"/>
      <c r="I33" s="20"/>
      <c r="J33" s="20"/>
      <c r="K33" s="21"/>
    </row>
    <row r="34" spans="1:11">
      <c r="A34" s="2">
        <v>242160</v>
      </c>
      <c r="B34" s="7" t="s">
        <v>3</v>
      </c>
      <c r="C34" s="3" t="str">
        <f>VLOOKUP(B34,'Accounts chart'!$A:$B,2,FALSE)</f>
        <v>ธนาคารกสิกรไทย SA-040-1-56500-0</v>
      </c>
      <c r="D34" s="3" t="s">
        <v>707</v>
      </c>
      <c r="E34" t="s">
        <v>440</v>
      </c>
      <c r="F34" t="s">
        <v>321</v>
      </c>
      <c r="G34" t="str">
        <f>VLOOKUP(F34,รายชื่อลูกบ้าน!$A:$B,2,FALSE)</f>
        <v>คุณอรรณพ แสงประทีป</v>
      </c>
      <c r="H34" t="s">
        <v>383</v>
      </c>
      <c r="I34" s="20">
        <v>7000</v>
      </c>
      <c r="J34" s="20"/>
      <c r="K34" s="2"/>
    </row>
    <row r="35" spans="1:11">
      <c r="A35" s="2">
        <v>242160</v>
      </c>
      <c r="B35" s="7" t="s">
        <v>3</v>
      </c>
      <c r="C35" s="3" t="str">
        <f>VLOOKUP(B35,'Accounts chart'!$A:$B,2,FALSE)</f>
        <v>ธนาคารกสิกรไทย SA-040-1-56500-0</v>
      </c>
      <c r="D35" s="3" t="s">
        <v>707</v>
      </c>
      <c r="E35" t="s">
        <v>441</v>
      </c>
      <c r="F35" t="s">
        <v>229</v>
      </c>
      <c r="G35" t="str">
        <f>VLOOKUP(F35,รายชื่อลูกบ้าน!$A:$B,2,FALSE)</f>
        <v>คุณชนะ ศรีคำ</v>
      </c>
      <c r="H35" t="s">
        <v>383</v>
      </c>
      <c r="I35" s="20">
        <v>7000</v>
      </c>
      <c r="J35" s="20"/>
      <c r="K35" s="2"/>
    </row>
    <row r="36" spans="1:11">
      <c r="A36" s="2">
        <v>242160</v>
      </c>
      <c r="B36" s="7" t="s">
        <v>3</v>
      </c>
      <c r="C36" s="3" t="str">
        <f>VLOOKUP(B36,'Accounts chart'!$A:$B,2,FALSE)</f>
        <v>ธนาคารกสิกรไทย SA-040-1-56500-0</v>
      </c>
      <c r="D36" s="3" t="s">
        <v>707</v>
      </c>
      <c r="E36" t="s">
        <v>442</v>
      </c>
      <c r="F36" t="s">
        <v>233</v>
      </c>
      <c r="G36" t="str">
        <f>VLOOKUP(F36,รายชื่อลูกบ้าน!$A:$B,2,FALSE)</f>
        <v>คุณวิทยา วัดเข้าหลาม</v>
      </c>
      <c r="H36" t="s">
        <v>384</v>
      </c>
      <c r="I36" s="20">
        <v>600.80999999999995</v>
      </c>
      <c r="J36" s="20"/>
      <c r="K36" s="2"/>
    </row>
    <row r="37" spans="1:11">
      <c r="A37" s="2">
        <v>242160</v>
      </c>
      <c r="B37" s="7" t="s">
        <v>3</v>
      </c>
      <c r="C37" s="3" t="str">
        <f>VLOOKUP(B37,'Accounts chart'!$A:$B,2,FALSE)</f>
        <v>ธนาคารกสิกรไทย SA-040-1-56500-0</v>
      </c>
      <c r="D37" s="3" t="s">
        <v>707</v>
      </c>
      <c r="E37" t="s">
        <v>443</v>
      </c>
      <c r="F37" t="s">
        <v>97</v>
      </c>
      <c r="G37" t="str">
        <f>VLOOKUP(F37,รายชื่อลูกบ้าน!$A:$B,2,FALSE)</f>
        <v>คุณฉัตร์ชัย วานิชสมบัติ</v>
      </c>
      <c r="H37" t="s">
        <v>383</v>
      </c>
      <c r="I37" s="20">
        <v>7000</v>
      </c>
      <c r="J37" s="20"/>
      <c r="K37" s="2"/>
    </row>
    <row r="38" spans="1:11">
      <c r="A38" s="2">
        <v>242160</v>
      </c>
      <c r="B38" s="7" t="s">
        <v>3</v>
      </c>
      <c r="C38" s="3" t="str">
        <f>VLOOKUP(B38,'Accounts chart'!$A:$B,2,FALSE)</f>
        <v>ธนาคารกสิกรไทย SA-040-1-56500-0</v>
      </c>
      <c r="D38" s="3" t="s">
        <v>707</v>
      </c>
      <c r="E38" t="s">
        <v>444</v>
      </c>
      <c r="F38" t="s">
        <v>295</v>
      </c>
      <c r="G38" t="str">
        <f>VLOOKUP(F38,รายชื่อลูกบ้าน!$A:$B,2,FALSE)</f>
        <v>คุณภานุรังสิทธิ์-คุณภญาดา หมื่นจันทร์</v>
      </c>
      <c r="H38" t="s">
        <v>384</v>
      </c>
      <c r="I38" s="20">
        <v>600</v>
      </c>
      <c r="J38" s="20"/>
      <c r="K38" s="2"/>
    </row>
    <row r="39" spans="1:11">
      <c r="A39" s="2">
        <v>242160</v>
      </c>
      <c r="B39" s="7" t="s">
        <v>3</v>
      </c>
      <c r="C39" s="3" t="str">
        <f>VLOOKUP(B39,'Accounts chart'!$A:$B,2,FALSE)</f>
        <v>ธนาคารกสิกรไทย SA-040-1-56500-0</v>
      </c>
      <c r="D39" s="3" t="s">
        <v>707</v>
      </c>
      <c r="E39" s="24" t="s">
        <v>445</v>
      </c>
      <c r="F39" t="s">
        <v>118</v>
      </c>
      <c r="G39" t="str">
        <f>VLOOKUP(F39,รายชื่อลูกบ้าน!$A:$B,2,FALSE)</f>
        <v>คุณด้ามพรรณ ตั้งทองจิตร-คุณศราวุธ ฑพธาภิรมย์</v>
      </c>
      <c r="H39" t="s">
        <v>402</v>
      </c>
      <c r="I39" s="20">
        <v>600</v>
      </c>
      <c r="J39" s="20"/>
      <c r="K39" s="22"/>
    </row>
    <row r="40" spans="1:11">
      <c r="A40" s="25">
        <v>242160</v>
      </c>
      <c r="B40" s="26" t="s">
        <v>3</v>
      </c>
      <c r="C40" s="27" t="str">
        <f>VLOOKUP(B40,'Accounts chart'!$A:$B,2,FALSE)</f>
        <v>ธนาคารกสิกรไทย SA-040-1-56500-0</v>
      </c>
      <c r="D40" s="27" t="s">
        <v>707</v>
      </c>
      <c r="E40" s="4" t="s">
        <v>446</v>
      </c>
      <c r="F40" s="4"/>
      <c r="G40" s="4" t="e">
        <f>VLOOKUP(F40,รายชื่อลูกบ้าน!$A:$B,2,FALSE)</f>
        <v>#N/A</v>
      </c>
      <c r="H40" s="4" t="s">
        <v>371</v>
      </c>
      <c r="I40" s="28">
        <v>600</v>
      </c>
      <c r="J40" s="28"/>
      <c r="K40" s="21"/>
    </row>
    <row r="41" spans="1:11">
      <c r="A41" s="2">
        <v>242160</v>
      </c>
      <c r="B41" s="7" t="s">
        <v>3</v>
      </c>
      <c r="C41" s="3" t="str">
        <f>VLOOKUP(B41,'Accounts chart'!$A:$B,2,FALSE)</f>
        <v>ธนาคารกสิกรไทย SA-040-1-56500-0</v>
      </c>
      <c r="D41" s="3" t="s">
        <v>707</v>
      </c>
      <c r="E41" t="s">
        <v>447</v>
      </c>
      <c r="F41" t="s">
        <v>255</v>
      </c>
      <c r="G41" t="str">
        <f>VLOOKUP(F41,รายชื่อลูกบ้าน!$A:$B,2,FALSE)</f>
        <v>คุณไชยยันต์ แก้วบุญศรี</v>
      </c>
      <c r="H41" t="s">
        <v>384</v>
      </c>
      <c r="I41" s="20">
        <v>600.95000000000005</v>
      </c>
      <c r="J41" s="20"/>
      <c r="K41" s="2"/>
    </row>
    <row r="42" spans="1:11">
      <c r="A42" s="2">
        <v>242160</v>
      </c>
      <c r="B42" s="7" t="s">
        <v>34</v>
      </c>
      <c r="C42" s="3" t="str">
        <f>VLOOKUP(B42,'Accounts chart'!$A:$B,2,FALSE)</f>
        <v>รายรับค่าส่วนกลาง</v>
      </c>
      <c r="D42" s="3" t="s">
        <v>707</v>
      </c>
      <c r="E42" t="s">
        <v>440</v>
      </c>
      <c r="F42" t="s">
        <v>321</v>
      </c>
      <c r="G42" t="str">
        <f>VLOOKUP(F42,รายชื่อลูกบ้าน!$A:$B,2,FALSE)</f>
        <v>คุณอรรณพ แสงประทีป</v>
      </c>
      <c r="H42" t="s">
        <v>383</v>
      </c>
      <c r="I42" s="20"/>
      <c r="J42" s="20">
        <v>7000</v>
      </c>
      <c r="K42" s="2"/>
    </row>
    <row r="43" spans="1:11">
      <c r="A43" s="2">
        <v>242160</v>
      </c>
      <c r="B43" s="7" t="s">
        <v>34</v>
      </c>
      <c r="C43" s="3" t="str">
        <f>VLOOKUP(B43,'Accounts chart'!$A:$B,2,FALSE)</f>
        <v>รายรับค่าส่วนกลาง</v>
      </c>
      <c r="D43" s="3" t="s">
        <v>707</v>
      </c>
      <c r="E43" t="s">
        <v>441</v>
      </c>
      <c r="F43" t="s">
        <v>229</v>
      </c>
      <c r="G43" t="str">
        <f>VLOOKUP(F43,รายชื่อลูกบ้าน!$A:$B,2,FALSE)</f>
        <v>คุณชนะ ศรีคำ</v>
      </c>
      <c r="H43" t="s">
        <v>383</v>
      </c>
      <c r="I43" s="20"/>
      <c r="J43" s="20">
        <v>7000</v>
      </c>
      <c r="K43" s="2"/>
    </row>
    <row r="44" spans="1:11">
      <c r="A44" s="2">
        <v>242160</v>
      </c>
      <c r="B44" s="7" t="s">
        <v>34</v>
      </c>
      <c r="C44" s="3" t="str">
        <f>VLOOKUP(B44,'Accounts chart'!$A:$B,2,FALSE)</f>
        <v>รายรับค่าส่วนกลาง</v>
      </c>
      <c r="D44" s="3" t="s">
        <v>707</v>
      </c>
      <c r="E44" t="s">
        <v>442</v>
      </c>
      <c r="F44" t="s">
        <v>233</v>
      </c>
      <c r="G44" t="str">
        <f>VLOOKUP(F44,รายชื่อลูกบ้าน!$A:$B,2,FALSE)</f>
        <v>คุณวิทยา วัดเข้าหลาม</v>
      </c>
      <c r="H44" t="s">
        <v>384</v>
      </c>
      <c r="I44" s="20"/>
      <c r="J44" s="20">
        <v>600.80999999999995</v>
      </c>
      <c r="K44" s="2"/>
    </row>
    <row r="45" spans="1:11">
      <c r="A45" s="2">
        <v>242160</v>
      </c>
      <c r="B45" s="7" t="s">
        <v>34</v>
      </c>
      <c r="C45" s="3" t="str">
        <f>VLOOKUP(B45,'Accounts chart'!$A:$B,2,FALSE)</f>
        <v>รายรับค่าส่วนกลาง</v>
      </c>
      <c r="D45" s="3" t="s">
        <v>707</v>
      </c>
      <c r="E45" t="s">
        <v>443</v>
      </c>
      <c r="F45" t="s">
        <v>97</v>
      </c>
      <c r="G45" t="str">
        <f>VLOOKUP(F45,รายชื่อลูกบ้าน!$A:$B,2,FALSE)</f>
        <v>คุณฉัตร์ชัย วานิชสมบัติ</v>
      </c>
      <c r="H45" t="s">
        <v>383</v>
      </c>
      <c r="I45" s="20"/>
      <c r="J45" s="20">
        <v>7000</v>
      </c>
      <c r="K45" s="2"/>
    </row>
    <row r="46" spans="1:11">
      <c r="A46" s="2">
        <v>242160</v>
      </c>
      <c r="B46" s="7" t="s">
        <v>34</v>
      </c>
      <c r="C46" s="3" t="str">
        <f>VLOOKUP(B46,'Accounts chart'!$A:$B,2,FALSE)</f>
        <v>รายรับค่าส่วนกลาง</v>
      </c>
      <c r="D46" s="3" t="s">
        <v>707</v>
      </c>
      <c r="E46" t="s">
        <v>444</v>
      </c>
      <c r="F46" t="s">
        <v>295</v>
      </c>
      <c r="G46" t="str">
        <f>VLOOKUP(F46,รายชื่อลูกบ้าน!$A:$B,2,FALSE)</f>
        <v>คุณภานุรังสิทธิ์-คุณภญาดา หมื่นจันทร์</v>
      </c>
      <c r="H46" t="s">
        <v>384</v>
      </c>
      <c r="I46" s="20"/>
      <c r="J46" s="20">
        <v>600</v>
      </c>
      <c r="K46" s="2"/>
    </row>
    <row r="47" spans="1:11">
      <c r="A47" s="2">
        <v>242160</v>
      </c>
      <c r="B47" s="7" t="s">
        <v>4</v>
      </c>
      <c r="C47" s="3" t="str">
        <f>VLOOKUP(B47,'Accounts chart'!$A:$B,2,FALSE)</f>
        <v>ลูกหนี้ค่าส่วนกลาง</v>
      </c>
      <c r="D47" s="3" t="s">
        <v>707</v>
      </c>
      <c r="E47" s="24" t="s">
        <v>445</v>
      </c>
      <c r="F47" t="s">
        <v>118</v>
      </c>
      <c r="G47" t="str">
        <f>VLOOKUP(F47,รายชื่อลูกบ้าน!$A:$B,2,FALSE)</f>
        <v>คุณด้ามพรรณ ตั้งทองจิตร-คุณศราวุธ ฑพธาภิรมย์</v>
      </c>
      <c r="H47" t="s">
        <v>402</v>
      </c>
      <c r="I47" s="20"/>
      <c r="J47" s="20">
        <v>600</v>
      </c>
      <c r="K47" s="2"/>
    </row>
    <row r="48" spans="1:11">
      <c r="A48" s="36">
        <v>242160</v>
      </c>
      <c r="B48" s="37" t="s">
        <v>26</v>
      </c>
      <c r="C48" s="38" t="str">
        <f>VLOOKUP(B48,'Accounts chart'!$A:$B,2,FALSE)</f>
        <v>รายได้ค่าส่วนกลางไม่ทราบชือ</v>
      </c>
      <c r="D48" s="27" t="s">
        <v>707</v>
      </c>
      <c r="E48" s="4" t="s">
        <v>446</v>
      </c>
      <c r="F48" s="39"/>
      <c r="G48" s="4" t="e">
        <f>VLOOKUP(F48,รายชื่อลูกบ้าน!$A:$B,2,FALSE)</f>
        <v>#N/A</v>
      </c>
      <c r="H48" s="39" t="s">
        <v>371</v>
      </c>
      <c r="I48" s="40"/>
      <c r="J48" s="40">
        <v>600</v>
      </c>
      <c r="K48" s="2"/>
    </row>
    <row r="49" spans="1:11">
      <c r="A49" s="2">
        <v>242160</v>
      </c>
      <c r="B49" s="7" t="s">
        <v>34</v>
      </c>
      <c r="C49" s="3" t="str">
        <f>VLOOKUP(B49,'Accounts chart'!$A:$B,2,FALSE)</f>
        <v>รายรับค่าส่วนกลาง</v>
      </c>
      <c r="D49" s="3" t="s">
        <v>707</v>
      </c>
      <c r="E49" t="s">
        <v>447</v>
      </c>
      <c r="F49" t="s">
        <v>255</v>
      </c>
      <c r="G49" t="str">
        <f>VLOOKUP(F49,รายชื่อลูกบ้าน!$A:$B,2,FALSE)</f>
        <v>คุณไชยยันต์ แก้วบุญศรี</v>
      </c>
      <c r="H49" t="s">
        <v>384</v>
      </c>
      <c r="I49" s="20"/>
      <c r="J49" s="20">
        <v>600.95000000000005</v>
      </c>
      <c r="K49" s="2"/>
    </row>
    <row r="50" spans="1:11">
      <c r="A50" s="2"/>
      <c r="C50" s="3"/>
      <c r="I50" s="20"/>
      <c r="J50" s="20"/>
      <c r="K50" s="2"/>
    </row>
    <row r="51" spans="1:11">
      <c r="A51" s="2">
        <v>242161</v>
      </c>
      <c r="B51" s="7" t="s">
        <v>3</v>
      </c>
      <c r="C51" s="3" t="str">
        <f>VLOOKUP(B51,'Accounts chart'!$A:$B,2,FALSE)</f>
        <v>ธนาคารกสิกรไทย SA-040-1-56500-0</v>
      </c>
      <c r="D51" s="3" t="s">
        <v>708</v>
      </c>
      <c r="E51" t="s">
        <v>448</v>
      </c>
      <c r="F51" t="s">
        <v>173</v>
      </c>
      <c r="G51" t="str">
        <f>VLOOKUP(F51,รายชื่อลูกบ้าน!$A:$B,2,FALSE)</f>
        <v>คุณพิริยะ ทรัพย์เจริญ-คุณเยาวเรศ โกสุมพิทักษ์</v>
      </c>
      <c r="H51" t="s">
        <v>400</v>
      </c>
      <c r="I51" s="20">
        <v>600</v>
      </c>
      <c r="J51" s="20"/>
      <c r="K51" s="21"/>
    </row>
    <row r="52" spans="1:11">
      <c r="A52" s="2">
        <v>242161</v>
      </c>
      <c r="B52" s="7" t="s">
        <v>3</v>
      </c>
      <c r="C52" s="3" t="str">
        <f>VLOOKUP(B52,'Accounts chart'!$A:$B,2,FALSE)</f>
        <v>ธนาคารกสิกรไทย SA-040-1-56500-0</v>
      </c>
      <c r="D52" s="3" t="s">
        <v>708</v>
      </c>
      <c r="E52" t="s">
        <v>449</v>
      </c>
      <c r="F52" t="s">
        <v>344</v>
      </c>
      <c r="G52" t="str">
        <f>VLOOKUP(F52,รายชื่อลูกบ้าน!$A:$B,2,FALSE)</f>
        <v>คุณนวลจันทร์ เอี่ยมศุภนิมิตร</v>
      </c>
      <c r="H52" t="s">
        <v>383</v>
      </c>
      <c r="I52" s="20">
        <v>7001.45</v>
      </c>
      <c r="J52" s="20"/>
      <c r="K52" s="2"/>
    </row>
    <row r="53" spans="1:11">
      <c r="A53" s="2">
        <v>242161</v>
      </c>
      <c r="B53" s="7" t="s">
        <v>3</v>
      </c>
      <c r="C53" s="3" t="str">
        <f>VLOOKUP(B53,'Accounts chart'!$A:$B,2,FALSE)</f>
        <v>ธนาคารกสิกรไทย SA-040-1-56500-0</v>
      </c>
      <c r="D53" s="3" t="s">
        <v>708</v>
      </c>
      <c r="E53" t="s">
        <v>450</v>
      </c>
      <c r="F53" t="s">
        <v>313</v>
      </c>
      <c r="G53" t="str">
        <f>VLOOKUP(F53,รายชื่อลูกบ้าน!$A:$B,2,FALSE)</f>
        <v>คุณภานุมาศ ธนาธรศิริยุทธ์</v>
      </c>
      <c r="H53" t="s">
        <v>400</v>
      </c>
      <c r="I53" s="20">
        <v>600</v>
      </c>
      <c r="J53" s="20"/>
      <c r="K53" s="2"/>
    </row>
    <row r="54" spans="1:11">
      <c r="A54" s="2">
        <v>242161</v>
      </c>
      <c r="B54" s="7" t="s">
        <v>3</v>
      </c>
      <c r="C54" s="3" t="str">
        <f>VLOOKUP(B54,'Accounts chart'!$A:$B,2,FALSE)</f>
        <v>ธนาคารกสิกรไทย SA-040-1-56500-0</v>
      </c>
      <c r="D54" s="3" t="s">
        <v>708</v>
      </c>
      <c r="E54" t="s">
        <v>451</v>
      </c>
      <c r="F54" t="s">
        <v>187</v>
      </c>
      <c r="G54" t="str">
        <f>VLOOKUP(F54,รายชื่อลูกบ้าน!$A:$B,2,FALSE)</f>
        <v>นายญัชพล ภู่ถาวร</v>
      </c>
      <c r="H54" t="s">
        <v>384</v>
      </c>
      <c r="I54" s="20">
        <v>600</v>
      </c>
      <c r="J54" s="20"/>
      <c r="K54" s="21"/>
    </row>
    <row r="55" spans="1:11">
      <c r="A55" s="2">
        <v>242161</v>
      </c>
      <c r="B55" s="7" t="s">
        <v>4</v>
      </c>
      <c r="C55" s="3" t="str">
        <f>VLOOKUP(B55,'Accounts chart'!$A:$B,2,FALSE)</f>
        <v>ลูกหนี้ค่าส่วนกลาง</v>
      </c>
      <c r="D55" s="3" t="s">
        <v>708</v>
      </c>
      <c r="E55" t="s">
        <v>448</v>
      </c>
      <c r="F55" t="s">
        <v>173</v>
      </c>
      <c r="G55" t="str">
        <f>VLOOKUP(F55,รายชื่อลูกบ้าน!$A:$B,2,FALSE)</f>
        <v>คุณพิริยะ ทรัพย์เจริญ-คุณเยาวเรศ โกสุมพิทักษ์</v>
      </c>
      <c r="H55" t="s">
        <v>400</v>
      </c>
      <c r="I55" s="20"/>
      <c r="J55" s="20">
        <v>600</v>
      </c>
      <c r="K55" s="21"/>
    </row>
    <row r="56" spans="1:11">
      <c r="A56" s="2">
        <v>242161</v>
      </c>
      <c r="B56" s="7" t="s">
        <v>34</v>
      </c>
      <c r="C56" s="3" t="str">
        <f>VLOOKUP(B56,'Accounts chart'!$A:$B,2,FALSE)</f>
        <v>รายรับค่าส่วนกลาง</v>
      </c>
      <c r="D56" s="3" t="s">
        <v>708</v>
      </c>
      <c r="E56" t="s">
        <v>449</v>
      </c>
      <c r="F56" t="s">
        <v>344</v>
      </c>
      <c r="G56" t="str">
        <f>VLOOKUP(F56,รายชื่อลูกบ้าน!$A:$B,2,FALSE)</f>
        <v>คุณนวลจันทร์ เอี่ยมศุภนิมิตร</v>
      </c>
      <c r="H56" t="s">
        <v>383</v>
      </c>
      <c r="I56" s="20"/>
      <c r="J56" s="20">
        <v>7001.45</v>
      </c>
      <c r="K56" s="21"/>
    </row>
    <row r="57" spans="1:11">
      <c r="A57" s="2">
        <v>242161</v>
      </c>
      <c r="B57" s="7" t="s">
        <v>4</v>
      </c>
      <c r="C57" s="3" t="str">
        <f>VLOOKUP(B57,'Accounts chart'!$A:$B,2,FALSE)</f>
        <v>ลูกหนี้ค่าส่วนกลาง</v>
      </c>
      <c r="D57" s="3" t="s">
        <v>708</v>
      </c>
      <c r="E57" t="s">
        <v>450</v>
      </c>
      <c r="F57" t="s">
        <v>313</v>
      </c>
      <c r="G57" t="str">
        <f>VLOOKUP(F57,รายชื่อลูกบ้าน!$A:$B,2,FALSE)</f>
        <v>คุณภานุมาศ ธนาธรศิริยุทธ์</v>
      </c>
      <c r="H57" t="s">
        <v>400</v>
      </c>
      <c r="I57" s="20"/>
      <c r="J57" s="20">
        <v>600</v>
      </c>
      <c r="K57" s="21"/>
    </row>
    <row r="58" spans="1:11">
      <c r="A58" s="2">
        <v>242161</v>
      </c>
      <c r="B58" s="7" t="s">
        <v>34</v>
      </c>
      <c r="C58" s="3" t="str">
        <f>VLOOKUP(B58,'Accounts chart'!$A:$B,2,FALSE)</f>
        <v>รายรับค่าส่วนกลาง</v>
      </c>
      <c r="D58" s="3" t="s">
        <v>708</v>
      </c>
      <c r="E58" t="s">
        <v>451</v>
      </c>
      <c r="F58" t="s">
        <v>187</v>
      </c>
      <c r="G58" t="str">
        <f>VLOOKUP(F58,รายชื่อลูกบ้าน!$A:$B,2,FALSE)</f>
        <v>นายญัชพล ภู่ถาวร</v>
      </c>
      <c r="H58" t="s">
        <v>384</v>
      </c>
      <c r="I58" s="20"/>
      <c r="J58" s="20">
        <v>600</v>
      </c>
      <c r="K58" s="21"/>
    </row>
    <row r="59" spans="1:11">
      <c r="A59" s="2"/>
      <c r="C59" s="3"/>
      <c r="I59" s="20"/>
      <c r="J59" s="20"/>
      <c r="K59" s="21"/>
    </row>
    <row r="60" spans="1:11">
      <c r="A60" s="2">
        <v>242162</v>
      </c>
      <c r="B60" s="7" t="s">
        <v>3</v>
      </c>
      <c r="C60" s="3" t="str">
        <f>VLOOKUP(B60,'Accounts chart'!$A:$B,2,FALSE)</f>
        <v>ธนาคารกสิกรไทย SA-040-1-56500-0</v>
      </c>
      <c r="D60" s="3" t="s">
        <v>709</v>
      </c>
      <c r="E60" t="s">
        <v>452</v>
      </c>
      <c r="F60" t="s">
        <v>109</v>
      </c>
      <c r="G60" t="str">
        <f>VLOOKUP(F60,รายชื่อลูกบ้าน!$A:$B,2,FALSE)</f>
        <v>คุณพัฒนชญา+คุณธิตินันท์ วงค์บุปผา</v>
      </c>
      <c r="H60" t="s">
        <v>384</v>
      </c>
      <c r="I60" s="20">
        <v>600</v>
      </c>
      <c r="J60" s="20"/>
      <c r="K60" s="2"/>
    </row>
    <row r="61" spans="1:11">
      <c r="A61" s="2">
        <v>242162</v>
      </c>
      <c r="B61" s="7" t="s">
        <v>3</v>
      </c>
      <c r="C61" s="3" t="str">
        <f>VLOOKUP(B61,'Accounts chart'!$A:$B,2,FALSE)</f>
        <v>ธนาคารกสิกรไทย SA-040-1-56500-0</v>
      </c>
      <c r="D61" s="3" t="s">
        <v>709</v>
      </c>
      <c r="E61" t="s">
        <v>453</v>
      </c>
      <c r="F61" t="s">
        <v>87</v>
      </c>
      <c r="G61" t="str">
        <f>VLOOKUP(F61,รายชื่อลูกบ้าน!$A:$B,2,FALSE)</f>
        <v>คุณคงกฤษณ์ กาญจนพฤกษ์</v>
      </c>
      <c r="H61" t="s">
        <v>400</v>
      </c>
      <c r="I61" s="20">
        <v>600</v>
      </c>
      <c r="J61" s="20"/>
      <c r="K61" s="21"/>
    </row>
    <row r="62" spans="1:11">
      <c r="A62" s="2">
        <v>242162</v>
      </c>
      <c r="B62" s="7" t="s">
        <v>3</v>
      </c>
      <c r="C62" s="3" t="str">
        <f>VLOOKUP(B62,'Accounts chart'!$A:$B,2,FALSE)</f>
        <v>ธนาคารกสิกรไทย SA-040-1-56500-0</v>
      </c>
      <c r="D62" s="3" t="s">
        <v>709</v>
      </c>
      <c r="E62" t="s">
        <v>454</v>
      </c>
      <c r="F62" t="s">
        <v>207</v>
      </c>
      <c r="G62" t="str">
        <f>VLOOKUP(F62,รายชื่อลูกบ้าน!$A:$B,2,FALSE)</f>
        <v>คุณกิตติภูมิ กาญจนจิรวงศ์</v>
      </c>
      <c r="H62" t="s">
        <v>403</v>
      </c>
      <c r="I62" s="20">
        <v>1200</v>
      </c>
      <c r="J62" s="20"/>
      <c r="K62" s="2"/>
    </row>
    <row r="63" spans="1:11">
      <c r="A63" s="2">
        <v>242162</v>
      </c>
      <c r="B63" s="7" t="s">
        <v>3</v>
      </c>
      <c r="C63" s="3" t="str">
        <f>VLOOKUP(B63,'Accounts chart'!$A:$B,2,FALSE)</f>
        <v>ธนาคารกสิกรไทย SA-040-1-56500-0</v>
      </c>
      <c r="D63" s="3" t="s">
        <v>709</v>
      </c>
      <c r="E63" t="s">
        <v>455</v>
      </c>
      <c r="F63" t="s">
        <v>182</v>
      </c>
      <c r="G63" t="str">
        <f>VLOOKUP(F63,รายชื่อลูกบ้าน!$A:$B,2,FALSE)</f>
        <v>คุณสิระพัชร์ หน่อแก้ว</v>
      </c>
      <c r="H63" t="s">
        <v>400</v>
      </c>
      <c r="I63" s="20">
        <v>600.53</v>
      </c>
      <c r="J63" s="20"/>
      <c r="K63" s="2"/>
    </row>
    <row r="64" spans="1:11">
      <c r="A64" s="2">
        <v>242162</v>
      </c>
      <c r="B64" s="7" t="s">
        <v>3</v>
      </c>
      <c r="C64" s="3" t="str">
        <f>VLOOKUP(B64,'Accounts chart'!$A:$B,2,FALSE)</f>
        <v>ธนาคารกสิกรไทย SA-040-1-56500-0</v>
      </c>
      <c r="D64" s="3" t="s">
        <v>709</v>
      </c>
      <c r="E64" t="s">
        <v>456</v>
      </c>
      <c r="F64" t="s">
        <v>161</v>
      </c>
      <c r="G64" t="str">
        <f>VLOOKUP(F64,รายชื่อลูกบ้าน!$A:$B,2,FALSE)</f>
        <v>คุณพงษ์พัฒนา มาบุญ</v>
      </c>
      <c r="H64" t="s">
        <v>400</v>
      </c>
      <c r="I64" s="20">
        <v>600</v>
      </c>
      <c r="J64" s="20"/>
      <c r="K64" s="2"/>
    </row>
    <row r="65" spans="1:11">
      <c r="A65" s="2">
        <v>242162</v>
      </c>
      <c r="B65" s="7" t="s">
        <v>3</v>
      </c>
      <c r="C65" s="3" t="str">
        <f>VLOOKUP(B65,'Accounts chart'!$A:$B,2,FALSE)</f>
        <v>ธนาคารกสิกรไทย SA-040-1-56500-0</v>
      </c>
      <c r="D65" s="3" t="s">
        <v>709</v>
      </c>
      <c r="E65" t="s">
        <v>457</v>
      </c>
      <c r="F65" t="s">
        <v>262</v>
      </c>
      <c r="G65" t="str">
        <f>VLOOKUP(F65,รายชื่อลูกบ้าน!$A:$B,2,FALSE)</f>
        <v>คุณวินัย-คุณนุชนาฎ ลิ้มบุพศิริพร</v>
      </c>
      <c r="H65" t="s">
        <v>384</v>
      </c>
      <c r="I65" s="20">
        <v>600</v>
      </c>
      <c r="J65" s="20"/>
      <c r="K65" s="2"/>
    </row>
    <row r="66" spans="1:11">
      <c r="A66" s="2">
        <v>242162</v>
      </c>
      <c r="B66" s="7" t="s">
        <v>3</v>
      </c>
      <c r="C66" s="3" t="str">
        <f>VLOOKUP(B66,'Accounts chart'!$A:$B,2,FALSE)</f>
        <v>ธนาคารกสิกรไทย SA-040-1-56500-0</v>
      </c>
      <c r="D66" s="3" t="s">
        <v>709</v>
      </c>
      <c r="E66" t="s">
        <v>458</v>
      </c>
      <c r="F66" t="s">
        <v>215</v>
      </c>
      <c r="G66" t="str">
        <f>VLOOKUP(F66,รายชื่อลูกบ้าน!$A:$B,2,FALSE)</f>
        <v>คุณสุพัตรา มงคลสหกุล</v>
      </c>
      <c r="H66" t="s">
        <v>383</v>
      </c>
      <c r="I66" s="20">
        <v>7000</v>
      </c>
      <c r="J66" s="20"/>
      <c r="K66" s="2"/>
    </row>
    <row r="67" spans="1:11">
      <c r="A67" s="2">
        <v>242162</v>
      </c>
      <c r="B67" s="7" t="s">
        <v>3</v>
      </c>
      <c r="C67" s="3" t="str">
        <f>VLOOKUP(B67,'Accounts chart'!$A:$B,2,FALSE)</f>
        <v>ธนาคารกสิกรไทย SA-040-1-56500-0</v>
      </c>
      <c r="D67" s="3" t="s">
        <v>709</v>
      </c>
      <c r="E67" t="s">
        <v>459</v>
      </c>
      <c r="F67" t="s">
        <v>189</v>
      </c>
      <c r="G67" t="str">
        <f>VLOOKUP(F67,รายชื่อลูกบ้าน!$A:$B,2,FALSE)</f>
        <v>คุณสิปปกร-คุณนิตยา รัตนพันธุ์</v>
      </c>
      <c r="H67" t="s">
        <v>404</v>
      </c>
      <c r="I67" s="20">
        <v>1800</v>
      </c>
      <c r="J67" s="20"/>
      <c r="K67" s="2"/>
    </row>
    <row r="68" spans="1:11">
      <c r="A68" s="2">
        <v>242162</v>
      </c>
      <c r="B68" s="7" t="s">
        <v>3</v>
      </c>
      <c r="C68" s="3" t="str">
        <f>VLOOKUP(B68,'Accounts chart'!$A:$B,2,FALSE)</f>
        <v>ธนาคารกสิกรไทย SA-040-1-56500-0</v>
      </c>
      <c r="D68" s="3" t="s">
        <v>709</v>
      </c>
      <c r="E68" t="s">
        <v>460</v>
      </c>
      <c r="F68" t="s">
        <v>74</v>
      </c>
      <c r="G68" t="str">
        <f>VLOOKUP(F68,รายชื่อลูกบ้าน!$A:$B,2,FALSE)</f>
        <v>คุณคมกฤษณ์ เรืองเพ็ง</v>
      </c>
      <c r="H68" t="s">
        <v>384</v>
      </c>
      <c r="I68" s="20">
        <v>600</v>
      </c>
      <c r="J68" s="20"/>
      <c r="K68" s="21"/>
    </row>
    <row r="69" spans="1:11">
      <c r="A69" s="2">
        <v>242162</v>
      </c>
      <c r="B69" s="7" t="s">
        <v>34</v>
      </c>
      <c r="C69" s="3" t="str">
        <f>VLOOKUP(B69,'Accounts chart'!$A:$B,2,FALSE)</f>
        <v>รายรับค่าส่วนกลาง</v>
      </c>
      <c r="D69" s="3" t="s">
        <v>709</v>
      </c>
      <c r="E69" t="s">
        <v>452</v>
      </c>
      <c r="F69" t="s">
        <v>109</v>
      </c>
      <c r="G69" t="str">
        <f>VLOOKUP(F69,รายชื่อลูกบ้าน!$A:$B,2,FALSE)</f>
        <v>คุณพัฒนชญา+คุณธิตินันท์ วงค์บุปผา</v>
      </c>
      <c r="H69" t="s">
        <v>384</v>
      </c>
      <c r="J69" s="20">
        <v>600</v>
      </c>
      <c r="K69" s="21"/>
    </row>
    <row r="70" spans="1:11">
      <c r="A70" s="2">
        <v>242162</v>
      </c>
      <c r="B70" s="7" t="s">
        <v>4</v>
      </c>
      <c r="C70" s="3" t="str">
        <f>VLOOKUP(B70,'Accounts chart'!$A:$B,2,FALSE)</f>
        <v>ลูกหนี้ค่าส่วนกลาง</v>
      </c>
      <c r="D70" s="3" t="s">
        <v>709</v>
      </c>
      <c r="E70" t="s">
        <v>453</v>
      </c>
      <c r="F70" t="s">
        <v>87</v>
      </c>
      <c r="G70" t="str">
        <f>VLOOKUP(F70,รายชื่อลูกบ้าน!$A:$B,2,FALSE)</f>
        <v>คุณคงกฤษณ์ กาญจนพฤกษ์</v>
      </c>
      <c r="H70" t="s">
        <v>400</v>
      </c>
      <c r="J70" s="20">
        <v>600</v>
      </c>
      <c r="K70" s="21"/>
    </row>
    <row r="71" spans="1:11">
      <c r="A71" s="2">
        <v>242162</v>
      </c>
      <c r="B71" s="7" t="s">
        <v>4</v>
      </c>
      <c r="C71" s="3" t="str">
        <f>VLOOKUP(B71,'Accounts chart'!$A:$B,2,FALSE)</f>
        <v>ลูกหนี้ค่าส่วนกลาง</v>
      </c>
      <c r="D71" s="3" t="s">
        <v>709</v>
      </c>
      <c r="E71" t="s">
        <v>454</v>
      </c>
      <c r="F71" t="s">
        <v>207</v>
      </c>
      <c r="G71" t="str">
        <f>VLOOKUP(F71,รายชื่อลูกบ้าน!$A:$B,2,FALSE)</f>
        <v>คุณกิตติภูมิ กาญจนจิรวงศ์</v>
      </c>
      <c r="H71" t="s">
        <v>403</v>
      </c>
      <c r="J71" s="20">
        <v>1200</v>
      </c>
      <c r="K71" s="21"/>
    </row>
    <row r="72" spans="1:11">
      <c r="A72" s="2">
        <v>242162</v>
      </c>
      <c r="B72" s="7" t="s">
        <v>4</v>
      </c>
      <c r="C72" s="3" t="str">
        <f>VLOOKUP(B72,'Accounts chart'!$A:$B,2,FALSE)</f>
        <v>ลูกหนี้ค่าส่วนกลาง</v>
      </c>
      <c r="D72" s="3" t="s">
        <v>709</v>
      </c>
      <c r="E72" t="s">
        <v>455</v>
      </c>
      <c r="F72" t="s">
        <v>182</v>
      </c>
      <c r="G72" t="str">
        <f>VLOOKUP(F72,รายชื่อลูกบ้าน!$A:$B,2,FALSE)</f>
        <v>คุณสิระพัชร์ หน่อแก้ว</v>
      </c>
      <c r="H72" t="s">
        <v>400</v>
      </c>
      <c r="J72" s="20">
        <v>600.53</v>
      </c>
      <c r="K72" s="21"/>
    </row>
    <row r="73" spans="1:11">
      <c r="A73" s="2">
        <v>242162</v>
      </c>
      <c r="B73" s="7" t="s">
        <v>4</v>
      </c>
      <c r="C73" s="3" t="str">
        <f>VLOOKUP(B73,'Accounts chart'!$A:$B,2,FALSE)</f>
        <v>ลูกหนี้ค่าส่วนกลาง</v>
      </c>
      <c r="D73" s="3" t="s">
        <v>709</v>
      </c>
      <c r="E73" t="s">
        <v>456</v>
      </c>
      <c r="F73" t="s">
        <v>161</v>
      </c>
      <c r="G73" t="str">
        <f>VLOOKUP(F73,รายชื่อลูกบ้าน!$A:$B,2,FALSE)</f>
        <v>คุณพงษ์พัฒนา มาบุญ</v>
      </c>
      <c r="H73" t="s">
        <v>400</v>
      </c>
      <c r="J73" s="20">
        <v>600</v>
      </c>
      <c r="K73" s="21"/>
    </row>
    <row r="74" spans="1:11">
      <c r="A74" s="2">
        <v>242162</v>
      </c>
      <c r="B74" s="7" t="s">
        <v>34</v>
      </c>
      <c r="C74" s="3" t="str">
        <f>VLOOKUP(B74,'Accounts chart'!$A:$B,2,FALSE)</f>
        <v>รายรับค่าส่วนกลาง</v>
      </c>
      <c r="D74" s="3" t="s">
        <v>709</v>
      </c>
      <c r="E74" t="s">
        <v>457</v>
      </c>
      <c r="F74" t="s">
        <v>262</v>
      </c>
      <c r="G74" t="str">
        <f>VLOOKUP(F74,รายชื่อลูกบ้าน!$A:$B,2,FALSE)</f>
        <v>คุณวินัย-คุณนุชนาฎ ลิ้มบุพศิริพร</v>
      </c>
      <c r="H74" t="s">
        <v>384</v>
      </c>
      <c r="J74" s="20">
        <v>600</v>
      </c>
      <c r="K74" s="21"/>
    </row>
    <row r="75" spans="1:11">
      <c r="A75" s="2">
        <v>242162</v>
      </c>
      <c r="B75" s="7" t="s">
        <v>34</v>
      </c>
      <c r="C75" s="3" t="str">
        <f>VLOOKUP(B75,'Accounts chart'!$A:$B,2,FALSE)</f>
        <v>รายรับค่าส่วนกลาง</v>
      </c>
      <c r="D75" s="3" t="s">
        <v>709</v>
      </c>
      <c r="E75" t="s">
        <v>458</v>
      </c>
      <c r="F75" t="s">
        <v>215</v>
      </c>
      <c r="G75" t="str">
        <f>VLOOKUP(F75,รายชื่อลูกบ้าน!$A:$B,2,FALSE)</f>
        <v>คุณสุพัตรา มงคลสหกุล</v>
      </c>
      <c r="H75" t="s">
        <v>383</v>
      </c>
      <c r="J75" s="20">
        <v>7000</v>
      </c>
      <c r="K75" s="21"/>
    </row>
    <row r="76" spans="1:11">
      <c r="A76" s="2">
        <v>242162</v>
      </c>
      <c r="B76" s="7" t="s">
        <v>4</v>
      </c>
      <c r="C76" s="3" t="str">
        <f>VLOOKUP(B76,'Accounts chart'!$A:$B,2,FALSE)</f>
        <v>ลูกหนี้ค่าส่วนกลาง</v>
      </c>
      <c r="D76" s="3" t="s">
        <v>709</v>
      </c>
      <c r="E76" t="s">
        <v>459</v>
      </c>
      <c r="F76" t="s">
        <v>189</v>
      </c>
      <c r="G76" t="str">
        <f>VLOOKUP(F76,รายชื่อลูกบ้าน!$A:$B,2,FALSE)</f>
        <v>คุณสิปปกร-คุณนิตยา รัตนพันธุ์</v>
      </c>
      <c r="H76" t="s">
        <v>404</v>
      </c>
      <c r="J76" s="20">
        <v>1800</v>
      </c>
      <c r="K76" s="21"/>
    </row>
    <row r="77" spans="1:11">
      <c r="A77" s="2">
        <v>242162</v>
      </c>
      <c r="B77" s="7" t="s">
        <v>34</v>
      </c>
      <c r="C77" s="3" t="str">
        <f>VLOOKUP(B77,'Accounts chart'!$A:$B,2,FALSE)</f>
        <v>รายรับค่าส่วนกลาง</v>
      </c>
      <c r="D77" s="3" t="s">
        <v>709</v>
      </c>
      <c r="E77" t="s">
        <v>460</v>
      </c>
      <c r="F77" t="s">
        <v>74</v>
      </c>
      <c r="G77" t="str">
        <f>VLOOKUP(F77,รายชื่อลูกบ้าน!$A:$B,2,FALSE)</f>
        <v>คุณคมกฤษณ์ เรืองเพ็ง</v>
      </c>
      <c r="H77" t="s">
        <v>384</v>
      </c>
      <c r="J77" s="20">
        <v>600</v>
      </c>
      <c r="K77" s="21"/>
    </row>
    <row r="78" spans="1:11">
      <c r="A78" s="2"/>
      <c r="C78" s="3"/>
      <c r="I78" s="20"/>
      <c r="J78" s="20"/>
      <c r="K78" s="21"/>
    </row>
    <row r="79" spans="1:11">
      <c r="A79" s="2">
        <v>242163</v>
      </c>
      <c r="B79" s="7" t="s">
        <v>3</v>
      </c>
      <c r="C79" s="3" t="str">
        <f>VLOOKUP(B79,'Accounts chart'!$A:$B,2,FALSE)</f>
        <v>ธนาคารกสิกรไทย SA-040-1-56500-0</v>
      </c>
      <c r="D79" s="3" t="s">
        <v>710</v>
      </c>
      <c r="E79" t="s">
        <v>461</v>
      </c>
      <c r="F79" t="s">
        <v>265</v>
      </c>
      <c r="G79" t="str">
        <f>VLOOKUP(F79,รายชื่อลูกบ้าน!$A:$B,2,FALSE)</f>
        <v>คุณรุ่งทิพา อินบัว</v>
      </c>
      <c r="H79" t="s">
        <v>383</v>
      </c>
      <c r="I79" s="20">
        <v>7000</v>
      </c>
      <c r="J79" s="20"/>
      <c r="K79" s="2"/>
    </row>
    <row r="80" spans="1:11">
      <c r="A80" s="2">
        <v>242163</v>
      </c>
      <c r="B80" s="7" t="s">
        <v>3</v>
      </c>
      <c r="C80" s="3" t="str">
        <f>VLOOKUP(B80,'Accounts chart'!$A:$B,2,FALSE)</f>
        <v>ธนาคารกสิกรไทย SA-040-1-56500-0</v>
      </c>
      <c r="D80" s="3" t="s">
        <v>710</v>
      </c>
      <c r="E80" t="s">
        <v>462</v>
      </c>
      <c r="F80" t="s">
        <v>107</v>
      </c>
      <c r="G80" t="str">
        <f>VLOOKUP(F80,รายชื่อลูกบ้าน!$A:$B,2,FALSE)</f>
        <v>คุณอนันต์ แจ่มจันทร์</v>
      </c>
      <c r="H80" t="s">
        <v>384</v>
      </c>
      <c r="I80" s="20">
        <v>600</v>
      </c>
      <c r="J80" s="20"/>
      <c r="K80" s="2"/>
    </row>
    <row r="81" spans="1:11">
      <c r="A81" s="2">
        <v>242163</v>
      </c>
      <c r="B81" s="7" t="s">
        <v>3</v>
      </c>
      <c r="C81" s="3" t="str">
        <f>VLOOKUP(B81,'Accounts chart'!$A:$B,2,FALSE)</f>
        <v>ธนาคารกสิกรไทย SA-040-1-56500-0</v>
      </c>
      <c r="D81" s="3" t="s">
        <v>710</v>
      </c>
      <c r="E81" t="s">
        <v>463</v>
      </c>
      <c r="F81" t="s">
        <v>374</v>
      </c>
      <c r="G81" t="str">
        <f>VLOOKUP(F81,รายชื่อลูกบ้าน!$A:$B,2,FALSE)</f>
        <v>คุณเกียรติภูมิ วิรติภูมิ</v>
      </c>
      <c r="H81" t="s">
        <v>384</v>
      </c>
      <c r="I81" s="20">
        <v>600.9</v>
      </c>
      <c r="J81" s="20"/>
      <c r="K81" s="21"/>
    </row>
    <row r="82" spans="1:11">
      <c r="A82" s="2">
        <v>242163</v>
      </c>
      <c r="B82" s="7" t="s">
        <v>3</v>
      </c>
      <c r="C82" s="3" t="str">
        <f>VLOOKUP(B82,'Accounts chart'!$A:$B,2,FALSE)</f>
        <v>ธนาคารกสิกรไทย SA-040-1-56500-0</v>
      </c>
      <c r="D82" s="3" t="s">
        <v>710</v>
      </c>
      <c r="E82" t="s">
        <v>464</v>
      </c>
      <c r="F82" t="s">
        <v>139</v>
      </c>
      <c r="G82" t="str">
        <f>VLOOKUP(F82,รายชื่อลูกบ้าน!$A:$B,2,FALSE)</f>
        <v>คุณอนุชิต ทองจันดี</v>
      </c>
      <c r="H82" t="s">
        <v>383</v>
      </c>
      <c r="I82" s="20">
        <v>7000</v>
      </c>
      <c r="J82" s="20"/>
      <c r="K82" s="2"/>
    </row>
    <row r="83" spans="1:11">
      <c r="A83" s="2">
        <v>242163</v>
      </c>
      <c r="B83" s="7" t="s">
        <v>3</v>
      </c>
      <c r="C83" s="3" t="str">
        <f>VLOOKUP(B83,'Accounts chart'!$A:$B,2,FALSE)</f>
        <v>ธนาคารกสิกรไทย SA-040-1-56500-0</v>
      </c>
      <c r="D83" s="3" t="s">
        <v>710</v>
      </c>
      <c r="E83" t="s">
        <v>465</v>
      </c>
      <c r="F83" t="s">
        <v>346</v>
      </c>
      <c r="G83" t="str">
        <f>VLOOKUP(F83,รายชื่อลูกบ้าน!$A:$B,2,FALSE)</f>
        <v>คุณอภิชาติ พูนแก้ว</v>
      </c>
      <c r="H83" t="s">
        <v>383</v>
      </c>
      <c r="I83" s="20">
        <v>7000</v>
      </c>
      <c r="J83" s="20"/>
      <c r="K83" s="2"/>
    </row>
    <row r="84" spans="1:11">
      <c r="A84" s="2">
        <v>242163</v>
      </c>
      <c r="B84" s="7" t="s">
        <v>3</v>
      </c>
      <c r="C84" s="3" t="str">
        <f>VLOOKUP(B84,'Accounts chart'!$A:$B,2,FALSE)</f>
        <v>ธนาคารกสิกรไทย SA-040-1-56500-0</v>
      </c>
      <c r="D84" s="3" t="s">
        <v>710</v>
      </c>
      <c r="E84" t="s">
        <v>466</v>
      </c>
      <c r="F84" t="s">
        <v>134</v>
      </c>
      <c r="G84" t="str">
        <f>VLOOKUP(F84,รายชื่อลูกบ้าน!$A:$B,2,FALSE)</f>
        <v>คุณอวยชัย ลีขสวัสดิ์</v>
      </c>
      <c r="H84" t="s">
        <v>400</v>
      </c>
      <c r="I84" s="20">
        <v>600</v>
      </c>
      <c r="J84" s="20"/>
      <c r="K84" s="2"/>
    </row>
    <row r="85" spans="1:11">
      <c r="A85" s="2">
        <v>242163</v>
      </c>
      <c r="B85" s="7" t="s">
        <v>3</v>
      </c>
      <c r="C85" s="3" t="str">
        <f>VLOOKUP(B85,'Accounts chart'!$A:$B,2,FALSE)</f>
        <v>ธนาคารกสิกรไทย SA-040-1-56500-0</v>
      </c>
      <c r="D85" s="3" t="s">
        <v>710</v>
      </c>
      <c r="E85" t="s">
        <v>467</v>
      </c>
      <c r="F85" t="s">
        <v>185</v>
      </c>
      <c r="G85" t="str">
        <f>VLOOKUP(F85,รายชื่อลูกบ้าน!$A:$B,2,FALSE)</f>
        <v>คุณชาญชัย ตนะศุภผล</v>
      </c>
      <c r="H85" t="s">
        <v>384</v>
      </c>
      <c r="I85" s="20">
        <v>600.54999999999995</v>
      </c>
      <c r="J85" s="20"/>
      <c r="K85" s="2"/>
    </row>
    <row r="86" spans="1:11">
      <c r="A86" s="2">
        <v>242163</v>
      </c>
      <c r="B86" s="7" t="s">
        <v>3</v>
      </c>
      <c r="C86" s="3" t="str">
        <f>VLOOKUP(B86,'Accounts chart'!$A:$B,2,FALSE)</f>
        <v>ธนาคารกสิกรไทย SA-040-1-56500-0</v>
      </c>
      <c r="D86" s="3" t="s">
        <v>710</v>
      </c>
      <c r="E86" t="s">
        <v>468</v>
      </c>
      <c r="F86" t="s">
        <v>298</v>
      </c>
      <c r="G86" t="str">
        <f>VLOOKUP(F86,รายชื่อลูกบ้าน!$A:$B,2,FALSE)</f>
        <v>คุณนิรดา เณรนุ่ม</v>
      </c>
      <c r="H86" t="s">
        <v>383</v>
      </c>
      <c r="I86" s="20">
        <v>7000</v>
      </c>
      <c r="J86" s="20"/>
      <c r="K86" s="2"/>
    </row>
    <row r="87" spans="1:11">
      <c r="A87" s="2">
        <v>242163</v>
      </c>
      <c r="B87" s="7" t="s">
        <v>3</v>
      </c>
      <c r="C87" s="3" t="str">
        <f>VLOOKUP(B87,'Accounts chart'!$A:$B,2,FALSE)</f>
        <v>ธนาคารกสิกรไทย SA-040-1-56500-0</v>
      </c>
      <c r="D87" s="3" t="s">
        <v>710</v>
      </c>
      <c r="E87" s="24" t="s">
        <v>469</v>
      </c>
      <c r="F87" t="s">
        <v>162</v>
      </c>
      <c r="G87" t="str">
        <f>VLOOKUP(F87,รายชื่อลูกบ้าน!$A:$B,2,FALSE)</f>
        <v>คุณศริตวรรธน์ ศรีวัฒนวรกุล</v>
      </c>
      <c r="H87" t="s">
        <v>405</v>
      </c>
      <c r="I87" s="20">
        <v>600</v>
      </c>
      <c r="J87" s="20"/>
      <c r="K87" s="22"/>
    </row>
    <row r="88" spans="1:11">
      <c r="A88" s="2">
        <v>242163</v>
      </c>
      <c r="B88" s="7" t="s">
        <v>3</v>
      </c>
      <c r="C88" s="3" t="str">
        <f>VLOOKUP(B88,'Accounts chart'!$A:$B,2,FALSE)</f>
        <v>ธนาคารกสิกรไทย SA-040-1-56500-0</v>
      </c>
      <c r="D88" s="3" t="s">
        <v>710</v>
      </c>
      <c r="E88" t="s">
        <v>470</v>
      </c>
      <c r="F88" t="s">
        <v>311</v>
      </c>
      <c r="G88" t="str">
        <f>VLOOKUP(F88,รายชื่อลูกบ้าน!$A:$B,2,FALSE)</f>
        <v>คุณปิยณัฐ ปัญญาสวัสดิ์</v>
      </c>
      <c r="H88" t="s">
        <v>384</v>
      </c>
      <c r="I88" s="20">
        <v>600</v>
      </c>
      <c r="J88" s="20"/>
      <c r="K88" s="2"/>
    </row>
    <row r="89" spans="1:11">
      <c r="A89" s="2">
        <v>242163</v>
      </c>
      <c r="B89" s="7" t="s">
        <v>3</v>
      </c>
      <c r="C89" s="3" t="str">
        <f>VLOOKUP(B89,'Accounts chart'!$A:$B,2,FALSE)</f>
        <v>ธนาคารกสิกรไทย SA-040-1-56500-0</v>
      </c>
      <c r="D89" s="3" t="s">
        <v>710</v>
      </c>
      <c r="E89" t="s">
        <v>471</v>
      </c>
      <c r="F89" t="s">
        <v>360</v>
      </c>
      <c r="G89" t="str">
        <f>VLOOKUP(F89,รายชื่อลูกบ้าน!$A:$B,2,FALSE)</f>
        <v>คุณวิษา มีมาก</v>
      </c>
      <c r="H89" t="s">
        <v>384</v>
      </c>
      <c r="I89" s="20">
        <v>600</v>
      </c>
      <c r="J89" s="20"/>
      <c r="K89" s="2"/>
    </row>
    <row r="90" spans="1:11">
      <c r="A90" s="2">
        <v>242163</v>
      </c>
      <c r="B90" s="7" t="s">
        <v>34</v>
      </c>
      <c r="C90" s="3" t="str">
        <f>VLOOKUP(B90,'Accounts chart'!$A:$B,2,FALSE)</f>
        <v>รายรับค่าส่วนกลาง</v>
      </c>
      <c r="D90" s="3" t="s">
        <v>710</v>
      </c>
      <c r="E90" t="s">
        <v>461</v>
      </c>
      <c r="F90" t="s">
        <v>265</v>
      </c>
      <c r="G90" t="str">
        <f>VLOOKUP(F90,รายชื่อลูกบ้าน!$A:$B,2,FALSE)</f>
        <v>คุณรุ่งทิพา อินบัว</v>
      </c>
      <c r="H90" t="s">
        <v>383</v>
      </c>
      <c r="J90" s="20">
        <v>7000</v>
      </c>
      <c r="K90" s="2"/>
    </row>
    <row r="91" spans="1:11">
      <c r="A91" s="2">
        <v>242163</v>
      </c>
      <c r="B91" s="7" t="s">
        <v>34</v>
      </c>
      <c r="C91" s="3" t="str">
        <f>VLOOKUP(B91,'Accounts chart'!$A:$B,2,FALSE)</f>
        <v>รายรับค่าส่วนกลาง</v>
      </c>
      <c r="D91" s="3" t="s">
        <v>710</v>
      </c>
      <c r="E91" t="s">
        <v>462</v>
      </c>
      <c r="F91" t="s">
        <v>107</v>
      </c>
      <c r="G91" t="str">
        <f>VLOOKUP(F91,รายชื่อลูกบ้าน!$A:$B,2,FALSE)</f>
        <v>คุณอนันต์ แจ่มจันทร์</v>
      </c>
      <c r="H91" t="s">
        <v>384</v>
      </c>
      <c r="J91" s="20">
        <v>600</v>
      </c>
      <c r="K91" s="2"/>
    </row>
    <row r="92" spans="1:11">
      <c r="A92" s="2">
        <v>242163</v>
      </c>
      <c r="B92" s="7" t="s">
        <v>34</v>
      </c>
      <c r="C92" s="3" t="str">
        <f>VLOOKUP(B92,'Accounts chart'!$A:$B,2,FALSE)</f>
        <v>รายรับค่าส่วนกลาง</v>
      </c>
      <c r="D92" s="3" t="s">
        <v>710</v>
      </c>
      <c r="E92" t="s">
        <v>463</v>
      </c>
      <c r="F92" t="s">
        <v>374</v>
      </c>
      <c r="G92" t="str">
        <f>VLOOKUP(F92,รายชื่อลูกบ้าน!$A:$B,2,FALSE)</f>
        <v>คุณเกียรติภูมิ วิรติภูมิ</v>
      </c>
      <c r="H92" t="s">
        <v>384</v>
      </c>
      <c r="J92" s="20">
        <v>600.9</v>
      </c>
      <c r="K92" s="2"/>
    </row>
    <row r="93" spans="1:11">
      <c r="A93" s="2">
        <v>242163</v>
      </c>
      <c r="B93" s="7" t="s">
        <v>34</v>
      </c>
      <c r="C93" s="3" t="str">
        <f>VLOOKUP(B93,'Accounts chart'!$A:$B,2,FALSE)</f>
        <v>รายรับค่าส่วนกลาง</v>
      </c>
      <c r="D93" s="3" t="s">
        <v>710</v>
      </c>
      <c r="E93" t="s">
        <v>464</v>
      </c>
      <c r="F93" t="s">
        <v>139</v>
      </c>
      <c r="G93" t="str">
        <f>VLOOKUP(F93,รายชื่อลูกบ้าน!$A:$B,2,FALSE)</f>
        <v>คุณอนุชิต ทองจันดี</v>
      </c>
      <c r="H93" t="s">
        <v>383</v>
      </c>
      <c r="J93" s="20">
        <v>7000</v>
      </c>
      <c r="K93" s="2"/>
    </row>
    <row r="94" spans="1:11">
      <c r="A94" s="2">
        <v>242163</v>
      </c>
      <c r="B94" s="7" t="s">
        <v>34</v>
      </c>
      <c r="C94" s="3" t="str">
        <f>VLOOKUP(B94,'Accounts chart'!$A:$B,2,FALSE)</f>
        <v>รายรับค่าส่วนกลาง</v>
      </c>
      <c r="D94" s="3" t="s">
        <v>710</v>
      </c>
      <c r="E94" t="s">
        <v>465</v>
      </c>
      <c r="F94" t="s">
        <v>346</v>
      </c>
      <c r="G94" t="str">
        <f>VLOOKUP(F94,รายชื่อลูกบ้าน!$A:$B,2,FALSE)</f>
        <v>คุณอภิชาติ พูนแก้ว</v>
      </c>
      <c r="H94" t="s">
        <v>383</v>
      </c>
      <c r="J94" s="20">
        <v>7000</v>
      </c>
      <c r="K94" s="2"/>
    </row>
    <row r="95" spans="1:11">
      <c r="A95" s="2">
        <v>242163</v>
      </c>
      <c r="B95" s="7" t="s">
        <v>4</v>
      </c>
      <c r="C95" s="3" t="str">
        <f>VLOOKUP(B95,'Accounts chart'!$A:$B,2,FALSE)</f>
        <v>ลูกหนี้ค่าส่วนกลาง</v>
      </c>
      <c r="D95" s="3" t="s">
        <v>710</v>
      </c>
      <c r="E95" t="s">
        <v>466</v>
      </c>
      <c r="F95" t="s">
        <v>134</v>
      </c>
      <c r="G95" t="str">
        <f>VLOOKUP(F95,รายชื่อลูกบ้าน!$A:$B,2,FALSE)</f>
        <v>คุณอวยชัย ลีขสวัสดิ์</v>
      </c>
      <c r="H95" t="s">
        <v>400</v>
      </c>
      <c r="J95" s="20">
        <v>600</v>
      </c>
      <c r="K95" s="2"/>
    </row>
    <row r="96" spans="1:11">
      <c r="A96" s="2">
        <v>242163</v>
      </c>
      <c r="B96" s="7" t="s">
        <v>34</v>
      </c>
      <c r="C96" s="3" t="str">
        <f>VLOOKUP(B96,'Accounts chart'!$A:$B,2,FALSE)</f>
        <v>รายรับค่าส่วนกลาง</v>
      </c>
      <c r="D96" s="3" t="s">
        <v>710</v>
      </c>
      <c r="E96" t="s">
        <v>467</v>
      </c>
      <c r="F96" t="s">
        <v>185</v>
      </c>
      <c r="G96" t="str">
        <f>VLOOKUP(F96,รายชื่อลูกบ้าน!$A:$B,2,FALSE)</f>
        <v>คุณชาญชัย ตนะศุภผล</v>
      </c>
      <c r="H96" t="s">
        <v>384</v>
      </c>
      <c r="J96" s="20">
        <v>600.54999999999995</v>
      </c>
      <c r="K96" s="2"/>
    </row>
    <row r="97" spans="1:11">
      <c r="A97" s="2">
        <v>242163</v>
      </c>
      <c r="B97" s="7" t="s">
        <v>34</v>
      </c>
      <c r="C97" s="3" t="str">
        <f>VLOOKUP(B97,'Accounts chart'!$A:$B,2,FALSE)</f>
        <v>รายรับค่าส่วนกลาง</v>
      </c>
      <c r="D97" s="3" t="s">
        <v>710</v>
      </c>
      <c r="E97" t="s">
        <v>468</v>
      </c>
      <c r="F97" t="s">
        <v>298</v>
      </c>
      <c r="G97" t="str">
        <f>VLOOKUP(F97,รายชื่อลูกบ้าน!$A:$B,2,FALSE)</f>
        <v>คุณนิรดา เณรนุ่ม</v>
      </c>
      <c r="H97" t="s">
        <v>383</v>
      </c>
      <c r="J97" s="20">
        <v>7000</v>
      </c>
      <c r="K97" s="2"/>
    </row>
    <row r="98" spans="1:11">
      <c r="A98" s="2">
        <v>242163</v>
      </c>
      <c r="B98" s="7" t="s">
        <v>34</v>
      </c>
      <c r="C98" s="3" t="str">
        <f>VLOOKUP(B98,'Accounts chart'!$A:$B,2,FALSE)</f>
        <v>รายรับค่าส่วนกลาง</v>
      </c>
      <c r="D98" s="3" t="s">
        <v>710</v>
      </c>
      <c r="E98" s="24" t="s">
        <v>469</v>
      </c>
      <c r="F98" t="s">
        <v>162</v>
      </c>
      <c r="G98" t="str">
        <f>VLOOKUP(F98,รายชื่อลูกบ้าน!$A:$B,2,FALSE)</f>
        <v>คุณศริตวรรธน์ ศรีวัฒนวรกุล</v>
      </c>
      <c r="H98" t="s">
        <v>405</v>
      </c>
      <c r="J98" s="20">
        <v>600</v>
      </c>
      <c r="K98" s="2"/>
    </row>
    <row r="99" spans="1:11">
      <c r="A99" s="2">
        <v>242163</v>
      </c>
      <c r="B99" s="7" t="s">
        <v>34</v>
      </c>
      <c r="C99" s="3" t="str">
        <f>VLOOKUP(B99,'Accounts chart'!$A:$B,2,FALSE)</f>
        <v>รายรับค่าส่วนกลาง</v>
      </c>
      <c r="D99" s="3" t="s">
        <v>710</v>
      </c>
      <c r="E99" t="s">
        <v>470</v>
      </c>
      <c r="F99" t="s">
        <v>311</v>
      </c>
      <c r="G99" t="str">
        <f>VLOOKUP(F99,รายชื่อลูกบ้าน!$A:$B,2,FALSE)</f>
        <v>คุณปิยณัฐ ปัญญาสวัสดิ์</v>
      </c>
      <c r="H99" t="s">
        <v>384</v>
      </c>
      <c r="J99" s="20">
        <v>600</v>
      </c>
      <c r="K99" s="2"/>
    </row>
    <row r="100" spans="1:11">
      <c r="A100" s="2">
        <v>242163</v>
      </c>
      <c r="B100" s="7" t="s">
        <v>34</v>
      </c>
      <c r="C100" s="3" t="str">
        <f>VLOOKUP(B100,'Accounts chart'!$A:$B,2,FALSE)</f>
        <v>รายรับค่าส่วนกลาง</v>
      </c>
      <c r="D100" s="3" t="s">
        <v>710</v>
      </c>
      <c r="E100" t="s">
        <v>471</v>
      </c>
      <c r="F100" t="s">
        <v>360</v>
      </c>
      <c r="G100" t="str">
        <f>VLOOKUP(F100,รายชื่อลูกบ้าน!$A:$B,2,FALSE)</f>
        <v>คุณวิษา มีมาก</v>
      </c>
      <c r="H100" t="s">
        <v>384</v>
      </c>
      <c r="J100" s="20">
        <v>600</v>
      </c>
      <c r="K100" s="2"/>
    </row>
    <row r="101" spans="1:11">
      <c r="A101" s="2"/>
      <c r="C101" s="3"/>
      <c r="I101" s="20"/>
      <c r="J101" s="20"/>
      <c r="K101" s="2"/>
    </row>
    <row r="102" spans="1:11">
      <c r="A102" s="2">
        <v>242164</v>
      </c>
      <c r="B102" s="7" t="s">
        <v>3</v>
      </c>
      <c r="C102" s="3" t="str">
        <f>VLOOKUP(B102,'Accounts chart'!$A:$B,2,FALSE)</f>
        <v>ธนาคารกสิกรไทย SA-040-1-56500-0</v>
      </c>
      <c r="D102" s="3" t="s">
        <v>711</v>
      </c>
      <c r="E102" t="s">
        <v>472</v>
      </c>
      <c r="F102" t="s">
        <v>256</v>
      </c>
      <c r="G102" t="str">
        <f>VLOOKUP(F102,รายชื่อลูกบ้าน!$A:$B,2,FALSE)</f>
        <v>คุณพิชชา ขำสุวรรณ</v>
      </c>
      <c r="H102" t="s">
        <v>403</v>
      </c>
      <c r="I102" s="20">
        <v>1200</v>
      </c>
      <c r="J102" s="20"/>
      <c r="K102" s="2"/>
    </row>
    <row r="103" spans="1:11">
      <c r="A103" s="2">
        <v>242164</v>
      </c>
      <c r="B103" s="7" t="s">
        <v>3</v>
      </c>
      <c r="C103" s="3" t="str">
        <f>VLOOKUP(B103,'Accounts chart'!$A:$B,2,FALSE)</f>
        <v>ธนาคารกสิกรไทย SA-040-1-56500-0</v>
      </c>
      <c r="D103" s="3" t="s">
        <v>711</v>
      </c>
      <c r="E103" t="s">
        <v>473</v>
      </c>
      <c r="F103" t="s">
        <v>234</v>
      </c>
      <c r="G103" t="str">
        <f>VLOOKUP(F103,รายชื่อลูกบ้าน!$A:$B,2,FALSE)</f>
        <v>คุณประภัสสร บุญบันดล</v>
      </c>
      <c r="H103" t="s">
        <v>406</v>
      </c>
      <c r="I103" s="20">
        <v>4200</v>
      </c>
      <c r="J103" s="20"/>
      <c r="K103" s="2"/>
    </row>
    <row r="104" spans="1:11">
      <c r="A104" s="2">
        <v>242164</v>
      </c>
      <c r="B104" s="7" t="s">
        <v>3</v>
      </c>
      <c r="C104" s="3" t="str">
        <f>VLOOKUP(B104,'Accounts chart'!$A:$B,2,FALSE)</f>
        <v>ธนาคารกสิกรไทย SA-040-1-56500-0</v>
      </c>
      <c r="D104" s="3" t="s">
        <v>711</v>
      </c>
      <c r="E104" t="s">
        <v>474</v>
      </c>
      <c r="F104" t="s">
        <v>159</v>
      </c>
      <c r="G104" t="str">
        <f>VLOOKUP(F104,รายชื่อลูกบ้าน!$A:$B,2,FALSE)</f>
        <v>คุณอดุลย์ แก้วอำไพ</v>
      </c>
      <c r="H104" t="s">
        <v>384</v>
      </c>
      <c r="I104" s="20">
        <v>600.38</v>
      </c>
      <c r="J104" s="20"/>
      <c r="K104" s="21"/>
    </row>
    <row r="105" spans="1:11">
      <c r="A105" s="2">
        <v>242164</v>
      </c>
      <c r="B105" s="7" t="s">
        <v>3</v>
      </c>
      <c r="C105" s="3" t="str">
        <f>VLOOKUP(B105,'Accounts chart'!$A:$B,2,FALSE)</f>
        <v>ธนาคารกสิกรไทย SA-040-1-56500-0</v>
      </c>
      <c r="D105" s="3" t="s">
        <v>711</v>
      </c>
      <c r="E105" t="s">
        <v>475</v>
      </c>
      <c r="F105" t="s">
        <v>305</v>
      </c>
      <c r="G105" t="str">
        <f>VLOOKUP(F105,รายชื่อลูกบ้าน!$A:$B,2,FALSE)</f>
        <v>คุณภาสกร ชาญบรรยง</v>
      </c>
      <c r="H105" t="s">
        <v>383</v>
      </c>
      <c r="I105" s="20">
        <v>7000</v>
      </c>
      <c r="J105" s="20"/>
      <c r="K105" s="2"/>
    </row>
    <row r="106" spans="1:11">
      <c r="A106" s="2">
        <v>242164</v>
      </c>
      <c r="B106" s="7" t="s">
        <v>3</v>
      </c>
      <c r="C106" s="3" t="str">
        <f>VLOOKUP(B106,'Accounts chart'!$A:$B,2,FALSE)</f>
        <v>ธนาคารกสิกรไทย SA-040-1-56500-0</v>
      </c>
      <c r="D106" s="3" t="s">
        <v>711</v>
      </c>
      <c r="E106" t="s">
        <v>476</v>
      </c>
      <c r="F106" t="s">
        <v>223</v>
      </c>
      <c r="G106" t="str">
        <f>VLOOKUP(F106,รายชื่อลูกบ้าน!$A:$B,2,FALSE)</f>
        <v>คุณสุจิตรา เนินคีริ</v>
      </c>
      <c r="H106" t="s">
        <v>400</v>
      </c>
      <c r="I106" s="20">
        <v>600</v>
      </c>
      <c r="J106" s="20"/>
      <c r="K106" s="2"/>
    </row>
    <row r="107" spans="1:11">
      <c r="A107" s="2">
        <v>242164</v>
      </c>
      <c r="B107" s="7" t="s">
        <v>3</v>
      </c>
      <c r="C107" s="3" t="str">
        <f>VLOOKUP(B107,'Accounts chart'!$A:$B,2,FALSE)</f>
        <v>ธนาคารกสิกรไทย SA-040-1-56500-0</v>
      </c>
      <c r="D107" s="3" t="s">
        <v>711</v>
      </c>
      <c r="E107" t="s">
        <v>477</v>
      </c>
      <c r="F107" t="s">
        <v>167</v>
      </c>
      <c r="G107" t="str">
        <f>VLOOKUP(F107,รายชื่อลูกบ้าน!$A:$B,2,FALSE)</f>
        <v>คุณคฑาวุธ พิมลศรี</v>
      </c>
      <c r="H107" t="s">
        <v>400</v>
      </c>
      <c r="I107" s="20">
        <v>600</v>
      </c>
      <c r="J107" s="20"/>
      <c r="K107" s="2"/>
    </row>
    <row r="108" spans="1:11">
      <c r="A108" s="2">
        <v>242164</v>
      </c>
      <c r="B108" s="7" t="s">
        <v>3</v>
      </c>
      <c r="C108" s="3" t="str">
        <f>VLOOKUP(B108,'Accounts chart'!$A:$B,2,FALSE)</f>
        <v>ธนาคารกสิกรไทย SA-040-1-56500-0</v>
      </c>
      <c r="D108" s="3" t="s">
        <v>711</v>
      </c>
      <c r="E108" t="s">
        <v>478</v>
      </c>
      <c r="F108" t="s">
        <v>277</v>
      </c>
      <c r="G108" t="str">
        <f>VLOOKUP(F108,รายชื่อลูกบ้าน!$A:$B,2,FALSE)</f>
        <v>คุณสุกิจ พยัฆศิริ</v>
      </c>
      <c r="H108" t="s">
        <v>400</v>
      </c>
      <c r="I108" s="20">
        <v>600</v>
      </c>
      <c r="J108" s="20"/>
      <c r="K108" s="2"/>
    </row>
    <row r="109" spans="1:11">
      <c r="A109" s="2">
        <v>242164</v>
      </c>
      <c r="B109" s="7" t="s">
        <v>3</v>
      </c>
      <c r="C109" s="3" t="str">
        <f>VLOOKUP(B109,'Accounts chart'!$A:$B,2,FALSE)</f>
        <v>ธนาคารกสิกรไทย SA-040-1-56500-0</v>
      </c>
      <c r="D109" s="3" t="s">
        <v>711</v>
      </c>
      <c r="E109" t="s">
        <v>479</v>
      </c>
      <c r="F109" t="s">
        <v>231</v>
      </c>
      <c r="G109" t="str">
        <f>VLOOKUP(F109,รายชื่อลูกบ้าน!$A:$B,2,FALSE)</f>
        <v>คุณบุรินทร์ โพธิจันดี</v>
      </c>
      <c r="H109" t="s">
        <v>383</v>
      </c>
      <c r="I109" s="20">
        <v>7000</v>
      </c>
      <c r="J109" s="20"/>
      <c r="K109" s="2"/>
    </row>
    <row r="110" spans="1:11">
      <c r="A110" s="2">
        <v>242164</v>
      </c>
      <c r="B110" s="7" t="s">
        <v>4</v>
      </c>
      <c r="C110" s="3" t="str">
        <f>VLOOKUP(B110,'Accounts chart'!$A:$B,2,FALSE)</f>
        <v>ลูกหนี้ค่าส่วนกลาง</v>
      </c>
      <c r="D110" s="3" t="s">
        <v>711</v>
      </c>
      <c r="E110" t="s">
        <v>472</v>
      </c>
      <c r="F110" t="s">
        <v>256</v>
      </c>
      <c r="G110" t="str">
        <f>VLOOKUP(F110,รายชื่อลูกบ้าน!$A:$B,2,FALSE)</f>
        <v>คุณพิชชา ขำสุวรรณ</v>
      </c>
      <c r="H110" t="s">
        <v>403</v>
      </c>
      <c r="J110" s="20">
        <v>1200</v>
      </c>
      <c r="K110" s="2"/>
    </row>
    <row r="111" spans="1:11">
      <c r="A111" s="2">
        <v>242164</v>
      </c>
      <c r="B111" s="7" t="s">
        <v>4</v>
      </c>
      <c r="C111" s="3" t="str">
        <f>VLOOKUP(B111,'Accounts chart'!$A:$B,2,FALSE)</f>
        <v>ลูกหนี้ค่าส่วนกลาง</v>
      </c>
      <c r="D111" s="3" t="s">
        <v>711</v>
      </c>
      <c r="E111" t="s">
        <v>473</v>
      </c>
      <c r="F111" t="s">
        <v>234</v>
      </c>
      <c r="G111" t="str">
        <f>VLOOKUP(F111,รายชื่อลูกบ้าน!$A:$B,2,FALSE)</f>
        <v>คุณประภัสสร บุญบันดล</v>
      </c>
      <c r="H111" t="s">
        <v>406</v>
      </c>
      <c r="J111" s="20">
        <v>4200</v>
      </c>
      <c r="K111" s="2"/>
    </row>
    <row r="112" spans="1:11">
      <c r="A112" s="2">
        <v>242164</v>
      </c>
      <c r="B112" s="7" t="s">
        <v>34</v>
      </c>
      <c r="C112" s="3" t="str">
        <f>VLOOKUP(B112,'Accounts chart'!$A:$B,2,FALSE)</f>
        <v>รายรับค่าส่วนกลาง</v>
      </c>
      <c r="D112" s="3" t="s">
        <v>711</v>
      </c>
      <c r="E112" t="s">
        <v>474</v>
      </c>
      <c r="F112" t="s">
        <v>159</v>
      </c>
      <c r="G112" t="str">
        <f>VLOOKUP(F112,รายชื่อลูกบ้าน!$A:$B,2,FALSE)</f>
        <v>คุณอดุลย์ แก้วอำไพ</v>
      </c>
      <c r="H112" t="s">
        <v>384</v>
      </c>
      <c r="J112" s="20">
        <v>600.38</v>
      </c>
      <c r="K112" s="2"/>
    </row>
    <row r="113" spans="1:11">
      <c r="A113" s="2">
        <v>242164</v>
      </c>
      <c r="B113" s="7" t="s">
        <v>34</v>
      </c>
      <c r="C113" s="3" t="str">
        <f>VLOOKUP(B113,'Accounts chart'!$A:$B,2,FALSE)</f>
        <v>รายรับค่าส่วนกลาง</v>
      </c>
      <c r="D113" s="3" t="s">
        <v>711</v>
      </c>
      <c r="E113" t="s">
        <v>475</v>
      </c>
      <c r="F113" t="s">
        <v>305</v>
      </c>
      <c r="G113" t="str">
        <f>VLOOKUP(F113,รายชื่อลูกบ้าน!$A:$B,2,FALSE)</f>
        <v>คุณภาสกร ชาญบรรยง</v>
      </c>
      <c r="H113" t="s">
        <v>383</v>
      </c>
      <c r="J113" s="20">
        <v>7000</v>
      </c>
      <c r="K113" s="2"/>
    </row>
    <row r="114" spans="1:11">
      <c r="A114" s="2">
        <v>242164</v>
      </c>
      <c r="B114" s="7" t="s">
        <v>4</v>
      </c>
      <c r="C114" s="3" t="str">
        <f>VLOOKUP(B114,'Accounts chart'!$A:$B,2,FALSE)</f>
        <v>ลูกหนี้ค่าส่วนกลาง</v>
      </c>
      <c r="D114" s="3" t="s">
        <v>711</v>
      </c>
      <c r="E114" t="s">
        <v>476</v>
      </c>
      <c r="F114" t="s">
        <v>223</v>
      </c>
      <c r="G114" t="str">
        <f>VLOOKUP(F114,รายชื่อลูกบ้าน!$A:$B,2,FALSE)</f>
        <v>คุณสุจิตรา เนินคีริ</v>
      </c>
      <c r="H114" t="s">
        <v>400</v>
      </c>
      <c r="J114" s="20">
        <v>600</v>
      </c>
      <c r="K114" s="2"/>
    </row>
    <row r="115" spans="1:11">
      <c r="A115" s="2">
        <v>242164</v>
      </c>
      <c r="B115" s="7" t="s">
        <v>4</v>
      </c>
      <c r="C115" s="3" t="str">
        <f>VLOOKUP(B115,'Accounts chart'!$A:$B,2,FALSE)</f>
        <v>ลูกหนี้ค่าส่วนกลาง</v>
      </c>
      <c r="D115" s="3" t="s">
        <v>711</v>
      </c>
      <c r="E115" t="s">
        <v>477</v>
      </c>
      <c r="F115" t="s">
        <v>167</v>
      </c>
      <c r="G115" t="str">
        <f>VLOOKUP(F115,รายชื่อลูกบ้าน!$A:$B,2,FALSE)</f>
        <v>คุณคฑาวุธ พิมลศรี</v>
      </c>
      <c r="H115" t="s">
        <v>400</v>
      </c>
      <c r="J115" s="20">
        <v>600</v>
      </c>
      <c r="K115" s="2"/>
    </row>
    <row r="116" spans="1:11">
      <c r="A116" s="2">
        <v>242164</v>
      </c>
      <c r="B116" s="7" t="s">
        <v>4</v>
      </c>
      <c r="C116" s="3" t="str">
        <f>VLOOKUP(B116,'Accounts chart'!$A:$B,2,FALSE)</f>
        <v>ลูกหนี้ค่าส่วนกลาง</v>
      </c>
      <c r="D116" s="3" t="s">
        <v>711</v>
      </c>
      <c r="E116" t="s">
        <v>478</v>
      </c>
      <c r="F116" t="s">
        <v>277</v>
      </c>
      <c r="G116" t="str">
        <f>VLOOKUP(F116,รายชื่อลูกบ้าน!$A:$B,2,FALSE)</f>
        <v>คุณสุกิจ พยัฆศิริ</v>
      </c>
      <c r="H116" t="s">
        <v>400</v>
      </c>
      <c r="J116" s="20">
        <v>600</v>
      </c>
      <c r="K116" s="2"/>
    </row>
    <row r="117" spans="1:11">
      <c r="A117" s="2">
        <v>242164</v>
      </c>
      <c r="B117" s="7" t="s">
        <v>34</v>
      </c>
      <c r="C117" s="3" t="str">
        <f>VLOOKUP(B117,'Accounts chart'!$A:$B,2,FALSE)</f>
        <v>รายรับค่าส่วนกลาง</v>
      </c>
      <c r="D117" s="3" t="s">
        <v>711</v>
      </c>
      <c r="E117" t="s">
        <v>479</v>
      </c>
      <c r="F117" t="s">
        <v>231</v>
      </c>
      <c r="G117" t="str">
        <f>VLOOKUP(F117,รายชื่อลูกบ้าน!$A:$B,2,FALSE)</f>
        <v>คุณบุรินทร์ โพธิจันดี</v>
      </c>
      <c r="H117" t="s">
        <v>383</v>
      </c>
      <c r="J117" s="20">
        <v>7000</v>
      </c>
      <c r="K117" s="2"/>
    </row>
    <row r="118" spans="1:11">
      <c r="A118" s="2"/>
      <c r="C118" s="3"/>
      <c r="I118" s="20"/>
      <c r="J118" s="20"/>
      <c r="K118" s="2"/>
    </row>
    <row r="119" spans="1:11">
      <c r="A119" s="2">
        <v>242165</v>
      </c>
      <c r="B119" s="7" t="s">
        <v>3</v>
      </c>
      <c r="C119" s="3" t="str">
        <f>VLOOKUP(B119,'Accounts chart'!$A:$B,2,FALSE)</f>
        <v>ธนาคารกสิกรไทย SA-040-1-56500-0</v>
      </c>
      <c r="D119" s="3" t="s">
        <v>712</v>
      </c>
      <c r="E119" t="s">
        <v>480</v>
      </c>
      <c r="F119" t="s">
        <v>258</v>
      </c>
      <c r="G119" t="str">
        <f>VLOOKUP(F119,รายชื่อลูกบ้าน!$A:$B,2,FALSE)</f>
        <v>คุณณัฏฐชัย ปรีดีสนิท</v>
      </c>
      <c r="H119" t="s">
        <v>404</v>
      </c>
      <c r="I119" s="20">
        <v>1800</v>
      </c>
      <c r="J119" s="20"/>
      <c r="K119" s="2"/>
    </row>
    <row r="120" spans="1:11">
      <c r="A120" s="2">
        <v>242165</v>
      </c>
      <c r="B120" s="7" t="s">
        <v>3</v>
      </c>
      <c r="C120" s="3" t="str">
        <f>VLOOKUP(B120,'Accounts chart'!$A:$B,2,FALSE)</f>
        <v>ธนาคารกสิกรไทย SA-040-1-56500-0</v>
      </c>
      <c r="D120" s="3" t="s">
        <v>712</v>
      </c>
      <c r="E120" t="s">
        <v>481</v>
      </c>
      <c r="F120" t="s">
        <v>258</v>
      </c>
      <c r="G120" t="str">
        <f>VLOOKUP(F120,รายชื่อลูกบ้าน!$A:$B,2,FALSE)</f>
        <v>คุณณัฏฐชัย ปรีดีสนิท</v>
      </c>
      <c r="H120" t="s">
        <v>384</v>
      </c>
      <c r="I120" s="20">
        <v>600</v>
      </c>
      <c r="J120" s="20"/>
      <c r="K120" s="2"/>
    </row>
    <row r="121" spans="1:11">
      <c r="A121" s="2">
        <v>242165</v>
      </c>
      <c r="B121" s="7" t="s">
        <v>3</v>
      </c>
      <c r="C121" s="3" t="str">
        <f>VLOOKUP(B121,'Accounts chart'!$A:$B,2,FALSE)</f>
        <v>ธนาคารกสิกรไทย SA-040-1-56500-0</v>
      </c>
      <c r="D121" s="3" t="s">
        <v>712</v>
      </c>
      <c r="E121" t="s">
        <v>482</v>
      </c>
      <c r="F121" t="s">
        <v>99</v>
      </c>
      <c r="G121" t="str">
        <f>VLOOKUP(F121,รายชื่อลูกบ้าน!$A:$B,2,FALSE)</f>
        <v>คุณพิพัฒน์ บุญจันทร์</v>
      </c>
      <c r="H121" t="s">
        <v>383</v>
      </c>
      <c r="I121" s="20">
        <v>7000</v>
      </c>
      <c r="J121" s="20"/>
      <c r="K121" s="2"/>
    </row>
    <row r="122" spans="1:11">
      <c r="A122" s="2">
        <v>242165</v>
      </c>
      <c r="B122" s="7" t="s">
        <v>3</v>
      </c>
      <c r="C122" s="3" t="str">
        <f>VLOOKUP(B122,'Accounts chart'!$A:$B,2,FALSE)</f>
        <v>ธนาคารกสิกรไทย SA-040-1-56500-0</v>
      </c>
      <c r="D122" s="3" t="s">
        <v>712</v>
      </c>
      <c r="E122" t="s">
        <v>483</v>
      </c>
      <c r="F122" t="s">
        <v>169</v>
      </c>
      <c r="G122" t="str">
        <f>VLOOKUP(F122,รายชื่อลูกบ้าน!$A:$B,2,FALSE)</f>
        <v>คุณสุธาสินี แซ่อุ้ย</v>
      </c>
      <c r="H122" t="s">
        <v>383</v>
      </c>
      <c r="I122" s="20">
        <v>7000</v>
      </c>
      <c r="J122" s="20"/>
      <c r="K122" s="2"/>
    </row>
    <row r="123" spans="1:11">
      <c r="A123" s="2">
        <v>242165</v>
      </c>
      <c r="B123" s="7" t="s">
        <v>3</v>
      </c>
      <c r="C123" s="3" t="str">
        <f>VLOOKUP(B123,'Accounts chart'!$A:$B,2,FALSE)</f>
        <v>ธนาคารกสิกรไทย SA-040-1-56500-0</v>
      </c>
      <c r="D123" s="3" t="s">
        <v>712</v>
      </c>
      <c r="E123" t="s">
        <v>484</v>
      </c>
      <c r="F123" t="s">
        <v>180</v>
      </c>
      <c r="G123" t="str">
        <f>VLOOKUP(F123,รายชื่อลูกบ้าน!$A:$B,2,FALSE)</f>
        <v>ว่าที่ร.ต.ศราวุธ ไตยสุวรรณ</v>
      </c>
      <c r="H123" t="s">
        <v>404</v>
      </c>
      <c r="I123" s="20">
        <v>1800</v>
      </c>
      <c r="J123" s="20"/>
      <c r="K123" s="2"/>
    </row>
    <row r="124" spans="1:11">
      <c r="A124" s="2">
        <v>242165</v>
      </c>
      <c r="B124" s="7" t="s">
        <v>3</v>
      </c>
      <c r="C124" s="3" t="str">
        <f>VLOOKUP(B124,'Accounts chart'!$A:$B,2,FALSE)</f>
        <v>ธนาคารกสิกรไทย SA-040-1-56500-0</v>
      </c>
      <c r="D124" s="3" t="s">
        <v>712</v>
      </c>
      <c r="E124" t="s">
        <v>485</v>
      </c>
      <c r="F124" t="s">
        <v>269</v>
      </c>
      <c r="G124" t="str">
        <f>VLOOKUP(F124,รายชื่อลูกบ้าน!$A:$B,2,FALSE)</f>
        <v>คุณรัฐพงศ์ สาระสิทธิ์</v>
      </c>
      <c r="H124" t="s">
        <v>383</v>
      </c>
      <c r="I124" s="20">
        <v>7000</v>
      </c>
      <c r="J124" s="20"/>
      <c r="K124" s="2"/>
    </row>
    <row r="125" spans="1:11">
      <c r="A125" s="2">
        <v>242165</v>
      </c>
      <c r="B125" s="7" t="s">
        <v>3</v>
      </c>
      <c r="C125" s="3" t="str">
        <f>VLOOKUP(B125,'Accounts chart'!$A:$B,2,FALSE)</f>
        <v>ธนาคารกสิกรไทย SA-040-1-56500-0</v>
      </c>
      <c r="D125" s="3" t="s">
        <v>712</v>
      </c>
      <c r="E125" t="s">
        <v>486</v>
      </c>
      <c r="F125" t="s">
        <v>146</v>
      </c>
      <c r="G125" t="str">
        <f>VLOOKUP(F125,รายชื่อลูกบ้าน!$A:$B,2,FALSE)</f>
        <v>คุณชลาลัย เสมอสุข</v>
      </c>
      <c r="H125" t="s">
        <v>383</v>
      </c>
      <c r="I125" s="20">
        <v>7000</v>
      </c>
      <c r="J125" s="20"/>
      <c r="K125" s="2"/>
    </row>
    <row r="126" spans="1:11">
      <c r="A126" s="2">
        <v>242165</v>
      </c>
      <c r="B126" s="7" t="s">
        <v>3</v>
      </c>
      <c r="C126" s="3" t="str">
        <f>VLOOKUP(B126,'Accounts chart'!$A:$B,2,FALSE)</f>
        <v>ธนาคารกสิกรไทย SA-040-1-56500-0</v>
      </c>
      <c r="D126" s="3" t="s">
        <v>712</v>
      </c>
      <c r="E126" t="s">
        <v>487</v>
      </c>
      <c r="F126" t="s">
        <v>354</v>
      </c>
      <c r="G126" t="str">
        <f>VLOOKUP(F126,รายชื่อลูกบ้าน!$A:$B,2,FALSE)</f>
        <v>คุณสุรัตน์ พันธุ์แย้มมาลี</v>
      </c>
      <c r="H126" t="s">
        <v>384</v>
      </c>
      <c r="I126" s="20">
        <v>600</v>
      </c>
      <c r="J126" s="20"/>
      <c r="K126" s="21"/>
    </row>
    <row r="127" spans="1:11">
      <c r="A127" s="2">
        <v>242165</v>
      </c>
      <c r="B127" s="7" t="s">
        <v>4</v>
      </c>
      <c r="C127" s="3" t="str">
        <f>VLOOKUP(B127,'Accounts chart'!$A:$B,2,FALSE)</f>
        <v>ลูกหนี้ค่าส่วนกลาง</v>
      </c>
      <c r="D127" s="3" t="s">
        <v>712</v>
      </c>
      <c r="E127" t="s">
        <v>480</v>
      </c>
      <c r="F127" t="s">
        <v>258</v>
      </c>
      <c r="G127" t="str">
        <f>VLOOKUP(F127,รายชื่อลูกบ้าน!$A:$B,2,FALSE)</f>
        <v>คุณณัฏฐชัย ปรีดีสนิท</v>
      </c>
      <c r="H127" t="s">
        <v>404</v>
      </c>
      <c r="J127" s="20">
        <v>1800</v>
      </c>
      <c r="K127" s="21"/>
    </row>
    <row r="128" spans="1:11">
      <c r="A128" s="2">
        <v>242165</v>
      </c>
      <c r="B128" s="7" t="s">
        <v>34</v>
      </c>
      <c r="C128" s="3" t="str">
        <f>VLOOKUP(B128,'Accounts chart'!$A:$B,2,FALSE)</f>
        <v>รายรับค่าส่วนกลาง</v>
      </c>
      <c r="D128" s="3" t="s">
        <v>712</v>
      </c>
      <c r="E128" t="s">
        <v>481</v>
      </c>
      <c r="F128" t="s">
        <v>258</v>
      </c>
      <c r="G128" t="str">
        <f>VLOOKUP(F128,รายชื่อลูกบ้าน!$A:$B,2,FALSE)</f>
        <v>คุณณัฏฐชัย ปรีดีสนิท</v>
      </c>
      <c r="H128" t="s">
        <v>384</v>
      </c>
      <c r="J128" s="20">
        <v>600</v>
      </c>
      <c r="K128" s="21"/>
    </row>
    <row r="129" spans="1:11">
      <c r="A129" s="2">
        <v>242165</v>
      </c>
      <c r="B129" s="7" t="s">
        <v>34</v>
      </c>
      <c r="C129" s="3" t="str">
        <f>VLOOKUP(B129,'Accounts chart'!$A:$B,2,FALSE)</f>
        <v>รายรับค่าส่วนกลาง</v>
      </c>
      <c r="D129" s="3" t="s">
        <v>712</v>
      </c>
      <c r="E129" t="s">
        <v>482</v>
      </c>
      <c r="F129" t="s">
        <v>99</v>
      </c>
      <c r="G129" t="str">
        <f>VLOOKUP(F129,รายชื่อลูกบ้าน!$A:$B,2,FALSE)</f>
        <v>คุณพิพัฒน์ บุญจันทร์</v>
      </c>
      <c r="H129" t="s">
        <v>383</v>
      </c>
      <c r="J129" s="20">
        <v>7000</v>
      </c>
      <c r="K129" s="21"/>
    </row>
    <row r="130" spans="1:11">
      <c r="A130" s="2">
        <v>242165</v>
      </c>
      <c r="B130" s="7" t="s">
        <v>34</v>
      </c>
      <c r="C130" s="3" t="str">
        <f>VLOOKUP(B130,'Accounts chart'!$A:$B,2,FALSE)</f>
        <v>รายรับค่าส่วนกลาง</v>
      </c>
      <c r="D130" s="3" t="s">
        <v>712</v>
      </c>
      <c r="E130" t="s">
        <v>483</v>
      </c>
      <c r="F130" t="s">
        <v>169</v>
      </c>
      <c r="G130" t="str">
        <f>VLOOKUP(F130,รายชื่อลูกบ้าน!$A:$B,2,FALSE)</f>
        <v>คุณสุธาสินี แซ่อุ้ย</v>
      </c>
      <c r="H130" t="s">
        <v>383</v>
      </c>
      <c r="J130" s="20">
        <v>7000</v>
      </c>
      <c r="K130" s="21"/>
    </row>
    <row r="131" spans="1:11">
      <c r="A131" s="2">
        <v>242165</v>
      </c>
      <c r="B131" s="7" t="s">
        <v>4</v>
      </c>
      <c r="C131" s="3" t="str">
        <f>VLOOKUP(B131,'Accounts chart'!$A:$B,2,FALSE)</f>
        <v>ลูกหนี้ค่าส่วนกลาง</v>
      </c>
      <c r="D131" s="3" t="s">
        <v>712</v>
      </c>
      <c r="E131" t="s">
        <v>484</v>
      </c>
      <c r="F131" t="s">
        <v>180</v>
      </c>
      <c r="G131" t="str">
        <f>VLOOKUP(F131,รายชื่อลูกบ้าน!$A:$B,2,FALSE)</f>
        <v>ว่าที่ร.ต.ศราวุธ ไตยสุวรรณ</v>
      </c>
      <c r="H131" t="s">
        <v>404</v>
      </c>
      <c r="J131" s="20">
        <v>1800</v>
      </c>
      <c r="K131" s="21"/>
    </row>
    <row r="132" spans="1:11">
      <c r="A132" s="2">
        <v>242165</v>
      </c>
      <c r="B132" s="7" t="s">
        <v>34</v>
      </c>
      <c r="C132" s="3" t="str">
        <f>VLOOKUP(B132,'Accounts chart'!$A:$B,2,FALSE)</f>
        <v>รายรับค่าส่วนกลาง</v>
      </c>
      <c r="D132" s="3" t="s">
        <v>712</v>
      </c>
      <c r="E132" t="s">
        <v>485</v>
      </c>
      <c r="F132" t="s">
        <v>269</v>
      </c>
      <c r="G132" t="str">
        <f>VLOOKUP(F132,รายชื่อลูกบ้าน!$A:$B,2,FALSE)</f>
        <v>คุณรัฐพงศ์ สาระสิทธิ์</v>
      </c>
      <c r="H132" t="s">
        <v>383</v>
      </c>
      <c r="J132" s="20">
        <v>7000</v>
      </c>
      <c r="K132" s="21"/>
    </row>
    <row r="133" spans="1:11">
      <c r="A133" s="2">
        <v>242165</v>
      </c>
      <c r="B133" s="7" t="s">
        <v>34</v>
      </c>
      <c r="C133" s="3" t="str">
        <f>VLOOKUP(B133,'Accounts chart'!$A:$B,2,FALSE)</f>
        <v>รายรับค่าส่วนกลาง</v>
      </c>
      <c r="D133" s="3" t="s">
        <v>712</v>
      </c>
      <c r="E133" t="s">
        <v>486</v>
      </c>
      <c r="F133" t="s">
        <v>146</v>
      </c>
      <c r="G133" t="str">
        <f>VLOOKUP(F133,รายชื่อลูกบ้าน!$A:$B,2,FALSE)</f>
        <v>คุณชลาลัย เสมอสุข</v>
      </c>
      <c r="H133" t="s">
        <v>383</v>
      </c>
      <c r="I133" s="20"/>
      <c r="J133" s="20">
        <v>7000</v>
      </c>
      <c r="K133" s="21"/>
    </row>
    <row r="134" spans="1:11">
      <c r="A134" s="2">
        <v>242165</v>
      </c>
      <c r="B134" s="7" t="s">
        <v>34</v>
      </c>
      <c r="C134" s="3" t="str">
        <f>VLOOKUP(B134,'Accounts chart'!$A:$B,2,FALSE)</f>
        <v>รายรับค่าส่วนกลาง</v>
      </c>
      <c r="D134" s="3" t="s">
        <v>712</v>
      </c>
      <c r="E134" t="s">
        <v>487</v>
      </c>
      <c r="F134" t="s">
        <v>354</v>
      </c>
      <c r="G134" t="str">
        <f>VLOOKUP(F134,รายชื่อลูกบ้าน!$A:$B,2,FALSE)</f>
        <v>คุณสุรัตน์ พันธุ์แย้มมาลี</v>
      </c>
      <c r="H134" t="s">
        <v>384</v>
      </c>
      <c r="I134" s="20"/>
      <c r="J134" s="20">
        <v>600</v>
      </c>
      <c r="K134" s="21"/>
    </row>
    <row r="135" spans="1:11">
      <c r="A135" s="2"/>
      <c r="C135" s="3"/>
      <c r="I135" s="20"/>
      <c r="J135" s="20"/>
      <c r="K135" s="21"/>
    </row>
    <row r="136" spans="1:11">
      <c r="A136" s="2">
        <v>242166</v>
      </c>
      <c r="B136" s="7" t="s">
        <v>42</v>
      </c>
      <c r="C136" s="3" t="str">
        <f>VLOOKUP(B136,'Accounts chart'!$A:$B,2,FALSE)</f>
        <v>ค่าอะไหล่ซ่อมบำรุงและค่าซ่อมแซมอื่นๆ</v>
      </c>
      <c r="D136" t="s">
        <v>910</v>
      </c>
      <c r="G136" t="s">
        <v>768</v>
      </c>
      <c r="H136" t="s">
        <v>767</v>
      </c>
      <c r="I136" s="20">
        <v>21000</v>
      </c>
      <c r="J136" s="20"/>
      <c r="K136" s="21"/>
    </row>
    <row r="137" spans="1:11">
      <c r="A137" s="2">
        <v>242166</v>
      </c>
      <c r="B137" s="7" t="s">
        <v>2</v>
      </c>
      <c r="C137" s="3" t="str">
        <f>VLOOKUP(B137,'Accounts chart'!$A:$B,2,FALSE)</f>
        <v>ธนาคารกสิกรไทย CA-040-1-57563-4</v>
      </c>
      <c r="D137" t="s">
        <v>910</v>
      </c>
      <c r="G137" t="s">
        <v>768</v>
      </c>
      <c r="H137" t="s">
        <v>767</v>
      </c>
      <c r="I137" s="20"/>
      <c r="J137" s="20">
        <v>21000</v>
      </c>
      <c r="K137" s="21"/>
    </row>
    <row r="138" spans="1:11">
      <c r="A138" s="2"/>
      <c r="C138" s="3"/>
      <c r="I138" s="20"/>
      <c r="J138" s="20"/>
      <c r="K138" s="21"/>
    </row>
    <row r="139" spans="1:11">
      <c r="A139" s="2">
        <v>242166</v>
      </c>
      <c r="B139" s="7" t="s">
        <v>3</v>
      </c>
      <c r="C139" s="3" t="str">
        <f>VLOOKUP(B139,'Accounts chart'!$A:$B,2,FALSE)</f>
        <v>ธนาคารกสิกรไทย SA-040-1-56500-0</v>
      </c>
      <c r="D139" t="s">
        <v>713</v>
      </c>
      <c r="E139" t="s">
        <v>488</v>
      </c>
      <c r="F139" t="s">
        <v>263</v>
      </c>
      <c r="G139" t="str">
        <f>VLOOKUP(F139,รายชื่อลูกบ้าน!$A:$B,2,FALSE)</f>
        <v>คุณธัญพร โชคศิริภาวรตาซเซ</v>
      </c>
      <c r="H139" t="s">
        <v>400</v>
      </c>
      <c r="I139" s="20">
        <v>600</v>
      </c>
      <c r="J139" s="20"/>
      <c r="K139" s="2"/>
    </row>
    <row r="140" spans="1:11">
      <c r="A140" s="2">
        <v>242166</v>
      </c>
      <c r="B140" s="7" t="s">
        <v>3</v>
      </c>
      <c r="C140" s="3" t="str">
        <f>VLOOKUP(B140,'Accounts chart'!$A:$B,2,FALSE)</f>
        <v>ธนาคารกสิกรไทย SA-040-1-56500-0</v>
      </c>
      <c r="D140" t="s">
        <v>713</v>
      </c>
      <c r="E140" t="s">
        <v>489</v>
      </c>
      <c r="F140" t="s">
        <v>207</v>
      </c>
      <c r="G140" t="str">
        <f>VLOOKUP(F140,รายชื่อลูกบ้าน!$A:$B,2,FALSE)</f>
        <v>คุณกิตติภูมิ กาญจนจิรวงศ์</v>
      </c>
      <c r="H140" t="s">
        <v>407</v>
      </c>
      <c r="I140" s="20">
        <v>600</v>
      </c>
      <c r="J140" s="20"/>
      <c r="K140" s="2"/>
    </row>
    <row r="141" spans="1:11">
      <c r="A141" s="2">
        <v>242166</v>
      </c>
      <c r="B141" s="7" t="s">
        <v>4</v>
      </c>
      <c r="C141" s="3" t="str">
        <f>VLOOKUP(B141,'Accounts chart'!$A:$B,2,FALSE)</f>
        <v>ลูกหนี้ค่าส่วนกลาง</v>
      </c>
      <c r="D141" t="s">
        <v>713</v>
      </c>
      <c r="E141" t="s">
        <v>488</v>
      </c>
      <c r="F141" t="s">
        <v>263</v>
      </c>
      <c r="G141" t="str">
        <f>VLOOKUP(F141,รายชื่อลูกบ้าน!$A:$B,2,FALSE)</f>
        <v>คุณธัญพร โชคศิริภาวรตาซเซ</v>
      </c>
      <c r="H141" t="s">
        <v>400</v>
      </c>
      <c r="J141" s="20">
        <v>600</v>
      </c>
      <c r="K141" s="2"/>
    </row>
    <row r="142" spans="1:11">
      <c r="A142" s="2">
        <v>242166</v>
      </c>
      <c r="B142" s="7" t="s">
        <v>4</v>
      </c>
      <c r="C142" s="3" t="str">
        <f>VLOOKUP(B142,'Accounts chart'!$A:$B,2,FALSE)</f>
        <v>ลูกหนี้ค่าส่วนกลาง</v>
      </c>
      <c r="D142" t="s">
        <v>713</v>
      </c>
      <c r="E142" t="s">
        <v>489</v>
      </c>
      <c r="F142" t="s">
        <v>207</v>
      </c>
      <c r="G142" t="str">
        <f>VLOOKUP(F142,รายชื่อลูกบ้าน!$A:$B,2,FALSE)</f>
        <v>คุณกิตติภูมิ กาญจนจิรวงศ์</v>
      </c>
      <c r="H142" t="s">
        <v>407</v>
      </c>
      <c r="J142" s="20">
        <v>600</v>
      </c>
      <c r="K142" s="2"/>
    </row>
    <row r="143" spans="1:11">
      <c r="A143" s="2"/>
      <c r="C143" s="3"/>
      <c r="J143" s="20"/>
      <c r="K143" s="2"/>
    </row>
    <row r="144" spans="1:11">
      <c r="A144" s="2">
        <v>242167</v>
      </c>
      <c r="B144" s="7" t="s">
        <v>18</v>
      </c>
      <c r="C144" s="3" t="str">
        <f>VLOOKUP(B144,'Accounts chart'!$A:$B,2,FALSE)</f>
        <v>ค่ารักษาความปลอดภัยค้างจ่าย</v>
      </c>
      <c r="D144" t="s">
        <v>911</v>
      </c>
      <c r="G144" t="s">
        <v>769</v>
      </c>
      <c r="H144" t="s">
        <v>770</v>
      </c>
      <c r="I144" s="20">
        <v>38233.18</v>
      </c>
      <c r="J144" s="20"/>
      <c r="K144" s="2"/>
    </row>
    <row r="145" spans="1:11">
      <c r="A145" s="2">
        <v>242167</v>
      </c>
      <c r="B145" s="7" t="s">
        <v>2</v>
      </c>
      <c r="C145" s="3" t="str">
        <f>VLOOKUP(B145,'Accounts chart'!$A:$B,2,FALSE)</f>
        <v>ธนาคารกสิกรไทย CA-040-1-57563-4</v>
      </c>
      <c r="D145" t="s">
        <v>911</v>
      </c>
      <c r="G145" t="s">
        <v>769</v>
      </c>
      <c r="H145" t="s">
        <v>770</v>
      </c>
      <c r="I145" s="20"/>
      <c r="J145" s="20">
        <v>38233.18</v>
      </c>
      <c r="K145" s="2"/>
    </row>
    <row r="146" spans="1:11">
      <c r="A146" s="2"/>
      <c r="C146" s="3"/>
      <c r="I146" s="20"/>
      <c r="J146" s="20"/>
      <c r="K146" s="2"/>
    </row>
    <row r="147" spans="1:11">
      <c r="A147" s="2">
        <v>242167</v>
      </c>
      <c r="B147" s="7" t="s">
        <v>22</v>
      </c>
      <c r="C147" s="3" t="str">
        <f>VLOOKUP(B147,'Accounts chart'!$A:$B,2,FALSE)</f>
        <v>ค่าดูแลส่วนกลางค้างจ่าย</v>
      </c>
      <c r="D147" t="s">
        <v>912</v>
      </c>
      <c r="G147" t="s">
        <v>771</v>
      </c>
      <c r="H147" t="s">
        <v>772</v>
      </c>
      <c r="I147" s="20">
        <v>15000</v>
      </c>
      <c r="J147" s="20"/>
      <c r="K147" s="2"/>
    </row>
    <row r="148" spans="1:11">
      <c r="A148" s="2">
        <v>242167</v>
      </c>
      <c r="B148" s="7" t="s">
        <v>2</v>
      </c>
      <c r="C148" s="3" t="str">
        <f>VLOOKUP(B148,'Accounts chart'!$A:$B,2,FALSE)</f>
        <v>ธนาคารกสิกรไทย CA-040-1-57563-4</v>
      </c>
      <c r="D148" t="s">
        <v>912</v>
      </c>
      <c r="G148" t="s">
        <v>771</v>
      </c>
      <c r="H148" t="s">
        <v>772</v>
      </c>
      <c r="I148" s="20"/>
      <c r="J148" s="20">
        <v>15000</v>
      </c>
      <c r="K148" s="2"/>
    </row>
    <row r="149" spans="1:11">
      <c r="A149" s="2"/>
      <c r="C149" s="3"/>
      <c r="I149" s="20"/>
      <c r="J149" s="20"/>
      <c r="K149" s="2"/>
    </row>
    <row r="150" spans="1:11">
      <c r="A150" s="2">
        <v>242167</v>
      </c>
      <c r="B150" s="7" t="s">
        <v>14</v>
      </c>
      <c r="C150" s="3" t="str">
        <f>VLOOKUP(B150,'Accounts chart'!$A:$B,2,FALSE)</f>
        <v>ค่าเก็บขยะค้างจ่าย</v>
      </c>
      <c r="D150" t="s">
        <v>913</v>
      </c>
      <c r="G150" t="s">
        <v>773</v>
      </c>
      <c r="H150" t="s">
        <v>774</v>
      </c>
      <c r="I150" s="20">
        <v>3000</v>
      </c>
      <c r="J150" s="20"/>
      <c r="K150" s="2"/>
    </row>
    <row r="151" spans="1:11">
      <c r="A151" s="2">
        <v>242167</v>
      </c>
      <c r="B151" s="7" t="s">
        <v>2</v>
      </c>
      <c r="C151" s="3" t="str">
        <f>VLOOKUP(B151,'Accounts chart'!$A:$B,2,FALSE)</f>
        <v>ธนาคารกสิกรไทย CA-040-1-57563-4</v>
      </c>
      <c r="D151" t="s">
        <v>913</v>
      </c>
      <c r="G151" t="s">
        <v>773</v>
      </c>
      <c r="H151" t="s">
        <v>774</v>
      </c>
      <c r="I151" s="20"/>
      <c r="J151" s="20">
        <v>3000</v>
      </c>
      <c r="K151" s="2"/>
    </row>
    <row r="152" spans="1:11">
      <c r="A152" s="2"/>
      <c r="C152" s="3"/>
      <c r="I152" s="20"/>
      <c r="J152" s="20"/>
      <c r="K152" s="2"/>
    </row>
    <row r="153" spans="1:11">
      <c r="A153" s="2">
        <v>242167</v>
      </c>
      <c r="B153" s="7" t="s">
        <v>16</v>
      </c>
      <c r="C153" s="3" t="str">
        <f>VLOOKUP(B153,'Accounts chart'!$A:$B,2,FALSE)</f>
        <v>ค่าบริการดูแลสระว่ายน้ำค้างจ่าย</v>
      </c>
      <c r="D153" t="s">
        <v>914</v>
      </c>
      <c r="G153" t="s">
        <v>775</v>
      </c>
      <c r="H153" t="s">
        <v>776</v>
      </c>
      <c r="I153" s="20">
        <v>7500</v>
      </c>
      <c r="J153" s="20"/>
      <c r="K153" s="2"/>
    </row>
    <row r="154" spans="1:11">
      <c r="A154" s="2">
        <v>242167</v>
      </c>
      <c r="B154" s="7" t="s">
        <v>2</v>
      </c>
      <c r="C154" s="3" t="str">
        <f>VLOOKUP(B154,'Accounts chart'!$A:$B,2,FALSE)</f>
        <v>ธนาคารกสิกรไทย CA-040-1-57563-4</v>
      </c>
      <c r="D154" t="s">
        <v>914</v>
      </c>
      <c r="G154" t="s">
        <v>775</v>
      </c>
      <c r="H154" t="s">
        <v>776</v>
      </c>
      <c r="I154" s="20"/>
      <c r="J154" s="20">
        <v>7500</v>
      </c>
      <c r="K154" s="2"/>
    </row>
    <row r="155" spans="1:11">
      <c r="A155" s="2"/>
      <c r="C155" s="3"/>
      <c r="I155" s="20"/>
      <c r="J155" s="20"/>
      <c r="K155" s="2"/>
    </row>
    <row r="156" spans="1:11">
      <c r="A156" s="2">
        <v>242173</v>
      </c>
      <c r="B156" s="7" t="s">
        <v>20</v>
      </c>
      <c r="C156" s="3" t="str">
        <f>VLOOKUP(B156,'Accounts chart'!$A:$B,2,FALSE)</f>
        <v>ค่าไฟฟ้าค้างจ่าย</v>
      </c>
      <c r="D156" t="s">
        <v>915</v>
      </c>
      <c r="G156" t="s">
        <v>777</v>
      </c>
      <c r="H156" t="s">
        <v>778</v>
      </c>
      <c r="I156" s="20">
        <v>3476.06</v>
      </c>
      <c r="J156" s="20"/>
      <c r="K156" s="2"/>
    </row>
    <row r="157" spans="1:11">
      <c r="A157" s="2">
        <v>242173</v>
      </c>
      <c r="B157" s="7" t="s">
        <v>2</v>
      </c>
      <c r="C157" s="3" t="str">
        <f>VLOOKUP(B157,'Accounts chart'!$A:$B,2,FALSE)</f>
        <v>ธนาคารกสิกรไทย CA-040-1-57563-4</v>
      </c>
      <c r="D157" t="s">
        <v>915</v>
      </c>
      <c r="G157" t="s">
        <v>777</v>
      </c>
      <c r="H157" t="s">
        <v>778</v>
      </c>
      <c r="I157" s="20"/>
      <c r="J157" s="20">
        <v>3476.06</v>
      </c>
      <c r="K157" s="2"/>
    </row>
    <row r="158" spans="1:11">
      <c r="A158" s="2"/>
      <c r="C158" s="3"/>
      <c r="I158" s="20"/>
      <c r="J158" s="20"/>
      <c r="K158" s="2"/>
    </row>
    <row r="159" spans="1:11">
      <c r="A159" s="2">
        <v>242175</v>
      </c>
      <c r="B159" s="7" t="s">
        <v>42</v>
      </c>
      <c r="C159" s="3" t="str">
        <f>VLOOKUP(B159,'Accounts chart'!$A:$B,2,FALSE)</f>
        <v>ค่าอะไหล่ซ่อมบำรุงและค่าซ่อมแซมอื่นๆ</v>
      </c>
      <c r="D159" t="s">
        <v>916</v>
      </c>
      <c r="G159" t="s">
        <v>779</v>
      </c>
      <c r="H159" t="s">
        <v>780</v>
      </c>
      <c r="I159" s="20">
        <v>46352.4</v>
      </c>
      <c r="J159" s="20"/>
      <c r="K159" s="2"/>
    </row>
    <row r="160" spans="1:11">
      <c r="A160" s="2">
        <v>242175</v>
      </c>
      <c r="B160" s="7" t="s">
        <v>2</v>
      </c>
      <c r="C160" s="3" t="str">
        <f>VLOOKUP(B160,'Accounts chart'!$A:$B,2,FALSE)</f>
        <v>ธนาคารกสิกรไทย CA-040-1-57563-4</v>
      </c>
      <c r="D160" t="s">
        <v>916</v>
      </c>
      <c r="G160" t="s">
        <v>779</v>
      </c>
      <c r="H160" t="s">
        <v>780</v>
      </c>
      <c r="I160" s="20"/>
      <c r="J160" s="20">
        <v>46352.4</v>
      </c>
      <c r="K160" s="2"/>
    </row>
    <row r="161" spans="1:11">
      <c r="A161" s="2"/>
      <c r="C161" s="3"/>
      <c r="I161" s="20"/>
      <c r="J161" s="20"/>
      <c r="K161" s="2"/>
    </row>
    <row r="162" spans="1:11">
      <c r="A162" s="2">
        <v>242175</v>
      </c>
      <c r="B162" s="7" t="s">
        <v>16</v>
      </c>
      <c r="C162" s="3" t="str">
        <f>VLOOKUP(B162,'Accounts chart'!$A:$B,2,FALSE)</f>
        <v>ค่าบริการดูแลสระว่ายน้ำค้างจ่าย</v>
      </c>
      <c r="D162" t="s">
        <v>917</v>
      </c>
      <c r="G162" t="s">
        <v>775</v>
      </c>
      <c r="H162" t="s">
        <v>781</v>
      </c>
      <c r="I162" s="20">
        <v>1000</v>
      </c>
      <c r="J162" s="20"/>
      <c r="K162" s="2"/>
    </row>
    <row r="163" spans="1:11">
      <c r="A163" s="2">
        <v>242175</v>
      </c>
      <c r="B163" s="7" t="s">
        <v>2</v>
      </c>
      <c r="C163" s="3" t="str">
        <f>VLOOKUP(B163,'Accounts chart'!$A:$B,2,FALSE)</f>
        <v>ธนาคารกสิกรไทย CA-040-1-57563-4</v>
      </c>
      <c r="D163" t="s">
        <v>917</v>
      </c>
      <c r="G163" t="s">
        <v>775</v>
      </c>
      <c r="H163" t="s">
        <v>781</v>
      </c>
      <c r="I163" s="20"/>
      <c r="J163" s="20">
        <v>1000</v>
      </c>
      <c r="K163" s="2"/>
    </row>
    <row r="164" spans="1:11">
      <c r="A164" s="2"/>
      <c r="C164" s="3"/>
      <c r="I164" s="20"/>
      <c r="J164" s="20"/>
      <c r="K164" s="2"/>
    </row>
    <row r="165" spans="1:11">
      <c r="A165" s="2">
        <v>242168</v>
      </c>
      <c r="B165" s="7" t="s">
        <v>3</v>
      </c>
      <c r="C165" s="3" t="str">
        <f>VLOOKUP(B165,'Accounts chart'!$A:$B,2,FALSE)</f>
        <v>ธนาคารกสิกรไทย SA-040-1-56500-0</v>
      </c>
      <c r="D165" t="s">
        <v>714</v>
      </c>
      <c r="E165" t="s">
        <v>490</v>
      </c>
      <c r="F165" t="s">
        <v>367</v>
      </c>
      <c r="G165" t="str">
        <f>VLOOKUP(F165,รายชื่อลูกบ้าน!$A:$B,2,FALSE)</f>
        <v>คุณเพ็ญศรี ศรีละ</v>
      </c>
      <c r="H165" t="s">
        <v>404</v>
      </c>
      <c r="I165" s="20">
        <v>1800</v>
      </c>
      <c r="J165" s="20"/>
      <c r="K165" s="2"/>
    </row>
    <row r="166" spans="1:11">
      <c r="A166" s="2">
        <v>242168</v>
      </c>
      <c r="B166" s="7" t="s">
        <v>4</v>
      </c>
      <c r="C166" s="3" t="str">
        <f>VLOOKUP(B166,'Accounts chart'!$A:$B,2,FALSE)</f>
        <v>ลูกหนี้ค่าส่วนกลาง</v>
      </c>
      <c r="D166" t="s">
        <v>714</v>
      </c>
      <c r="E166" t="s">
        <v>490</v>
      </c>
      <c r="F166" t="s">
        <v>367</v>
      </c>
      <c r="G166" t="str">
        <f>VLOOKUP(F166,รายชื่อลูกบ้าน!$A:$B,2,FALSE)</f>
        <v>คุณเพ็ญศรี ศรีละ</v>
      </c>
      <c r="H166" t="s">
        <v>404</v>
      </c>
      <c r="J166" s="20">
        <v>1800</v>
      </c>
      <c r="K166" s="2"/>
    </row>
    <row r="167" spans="1:11">
      <c r="A167" s="2"/>
      <c r="C167" s="3"/>
      <c r="J167" s="20"/>
      <c r="K167" s="2"/>
    </row>
    <row r="168" spans="1:11">
      <c r="A168" s="2">
        <v>242171</v>
      </c>
      <c r="B168" s="7" t="s">
        <v>3</v>
      </c>
      <c r="C168" s="3" t="str">
        <f>VLOOKUP(B168,'Accounts chart'!$A:$B,2,FALSE)</f>
        <v>ธนาคารกสิกรไทย SA-040-1-56500-0</v>
      </c>
      <c r="D168" t="s">
        <v>715</v>
      </c>
      <c r="E168" t="s">
        <v>491</v>
      </c>
      <c r="F168" t="s">
        <v>364</v>
      </c>
      <c r="G168" t="str">
        <f>VLOOKUP(F168,รายชื่อลูกบ้าน!$A:$B,2,FALSE)</f>
        <v>คุณกิตติ แสวงภาค</v>
      </c>
      <c r="H168" t="s">
        <v>384</v>
      </c>
      <c r="I168" s="20">
        <v>600</v>
      </c>
      <c r="J168" s="20"/>
      <c r="K168" s="2"/>
    </row>
    <row r="169" spans="1:11">
      <c r="A169" s="2">
        <v>242171</v>
      </c>
      <c r="B169" s="7" t="s">
        <v>34</v>
      </c>
      <c r="C169" s="3" t="str">
        <f>VLOOKUP(B169,'Accounts chart'!$A:$B,2,FALSE)</f>
        <v>รายรับค่าส่วนกลาง</v>
      </c>
      <c r="D169" t="s">
        <v>715</v>
      </c>
      <c r="E169" t="s">
        <v>491</v>
      </c>
      <c r="F169" t="s">
        <v>364</v>
      </c>
      <c r="G169" t="str">
        <f>VLOOKUP(F169,รายชื่อลูกบ้าน!$A:$B,2,FALSE)</f>
        <v>คุณกิตติ แสวงภาค</v>
      </c>
      <c r="H169" t="s">
        <v>384</v>
      </c>
      <c r="J169" s="20">
        <v>600</v>
      </c>
      <c r="K169" s="2"/>
    </row>
    <row r="170" spans="1:11">
      <c r="A170" s="2"/>
      <c r="C170" s="3"/>
      <c r="I170" s="20"/>
      <c r="J170" s="20"/>
      <c r="K170" s="2"/>
    </row>
    <row r="171" spans="1:11">
      <c r="A171" s="2">
        <v>242174</v>
      </c>
      <c r="B171" s="7" t="s">
        <v>3</v>
      </c>
      <c r="C171" s="3" t="str">
        <f>VLOOKUP(B171,'Accounts chart'!$A:$B,2,FALSE)</f>
        <v>ธนาคารกสิกรไทย SA-040-1-56500-0</v>
      </c>
      <c r="D171" t="s">
        <v>716</v>
      </c>
      <c r="E171" t="s">
        <v>492</v>
      </c>
      <c r="F171" t="s">
        <v>71</v>
      </c>
      <c r="G171" t="str">
        <f>VLOOKUP(F171,รายชื่อลูกบ้าน!$A:$B,2,FALSE)</f>
        <v>คุณธิติพงศ์  เลิศรัตน์วัฒนา</v>
      </c>
      <c r="H171" t="s">
        <v>400</v>
      </c>
      <c r="I171" s="20">
        <v>600</v>
      </c>
      <c r="J171" s="20"/>
      <c r="K171" s="2"/>
    </row>
    <row r="172" spans="1:11">
      <c r="A172" s="2">
        <v>242174</v>
      </c>
      <c r="B172" s="7" t="s">
        <v>3</v>
      </c>
      <c r="C172" s="3" t="str">
        <f>VLOOKUP(B172,'Accounts chart'!$A:$B,2,FALSE)</f>
        <v>ธนาคารกสิกรไทย SA-040-1-56500-0</v>
      </c>
      <c r="D172" t="s">
        <v>716</v>
      </c>
      <c r="E172" t="s">
        <v>493</v>
      </c>
      <c r="F172" t="s">
        <v>71</v>
      </c>
      <c r="G172" t="str">
        <f>VLOOKUP(F172,รายชื่อลูกบ้าน!$A:$B,2,FALSE)</f>
        <v>คุณธิติพงศ์  เลิศรัตน์วัฒนา</v>
      </c>
      <c r="H172" t="s">
        <v>383</v>
      </c>
      <c r="I172" s="20">
        <v>7000</v>
      </c>
      <c r="J172" s="20"/>
      <c r="K172" s="2"/>
    </row>
    <row r="173" spans="1:11">
      <c r="A173" s="2">
        <v>242174</v>
      </c>
      <c r="B173" s="7" t="s">
        <v>3</v>
      </c>
      <c r="C173" s="3" t="str">
        <f>VLOOKUP(B173,'Accounts chart'!$A:$B,2,FALSE)</f>
        <v>ธนาคารกสิกรไทย SA-040-1-56500-0</v>
      </c>
      <c r="D173" t="s">
        <v>716</v>
      </c>
      <c r="E173" t="s">
        <v>494</v>
      </c>
      <c r="F173" t="s">
        <v>239</v>
      </c>
      <c r="G173" t="str">
        <f>VLOOKUP(F173,รายชื่อลูกบ้าน!$A:$B,2,FALSE)</f>
        <v>คุณเรืองชัย ศรีเมือง</v>
      </c>
      <c r="H173" t="s">
        <v>383</v>
      </c>
      <c r="I173" s="20">
        <v>7000</v>
      </c>
      <c r="J173" s="20"/>
      <c r="K173" s="2"/>
    </row>
    <row r="174" spans="1:11">
      <c r="A174" s="2">
        <v>242174</v>
      </c>
      <c r="B174" s="7" t="s">
        <v>3</v>
      </c>
      <c r="C174" s="3" t="str">
        <f>VLOOKUP(B174,'Accounts chart'!$A:$B,2,FALSE)</f>
        <v>ธนาคารกสิกรไทย SA-040-1-56500-0</v>
      </c>
      <c r="D174" t="s">
        <v>716</v>
      </c>
      <c r="E174" t="s">
        <v>495</v>
      </c>
      <c r="F174" t="s">
        <v>317</v>
      </c>
      <c r="G174" t="str">
        <f>VLOOKUP(F174,รายชื่อลูกบ้าน!$A:$B,2,FALSE)</f>
        <v>คุณจิระศักดิ์ จันทร์โท</v>
      </c>
      <c r="H174" t="s">
        <v>384</v>
      </c>
      <c r="I174" s="20">
        <v>600</v>
      </c>
      <c r="J174" s="20"/>
      <c r="K174" s="2"/>
    </row>
    <row r="175" spans="1:11">
      <c r="A175" s="2">
        <v>242174</v>
      </c>
      <c r="B175" s="7" t="s">
        <v>4</v>
      </c>
      <c r="C175" s="3" t="str">
        <f>VLOOKUP(B175,'Accounts chart'!$A:$B,2,FALSE)</f>
        <v>ลูกหนี้ค่าส่วนกลาง</v>
      </c>
      <c r="D175" t="s">
        <v>716</v>
      </c>
      <c r="E175" t="s">
        <v>492</v>
      </c>
      <c r="F175" t="s">
        <v>71</v>
      </c>
      <c r="G175" t="str">
        <f>VLOOKUP(F175,รายชื่อลูกบ้าน!$A:$B,2,FALSE)</f>
        <v>คุณธิติพงศ์  เลิศรัตน์วัฒนา</v>
      </c>
      <c r="H175" t="s">
        <v>400</v>
      </c>
      <c r="J175" s="20">
        <v>600</v>
      </c>
      <c r="K175" s="2"/>
    </row>
    <row r="176" spans="1:11">
      <c r="A176" s="2">
        <v>242174</v>
      </c>
      <c r="B176" s="7" t="s">
        <v>34</v>
      </c>
      <c r="C176" s="3" t="str">
        <f>VLOOKUP(B176,'Accounts chart'!$A:$B,2,FALSE)</f>
        <v>รายรับค่าส่วนกลาง</v>
      </c>
      <c r="D176" t="s">
        <v>716</v>
      </c>
      <c r="E176" t="s">
        <v>493</v>
      </c>
      <c r="F176" t="s">
        <v>71</v>
      </c>
      <c r="G176" t="str">
        <f>VLOOKUP(F176,รายชื่อลูกบ้าน!$A:$B,2,FALSE)</f>
        <v>คุณธิติพงศ์  เลิศรัตน์วัฒนา</v>
      </c>
      <c r="H176" t="s">
        <v>383</v>
      </c>
      <c r="J176" s="20">
        <v>7000</v>
      </c>
      <c r="K176" s="2"/>
    </row>
    <row r="177" spans="1:11">
      <c r="A177" s="2">
        <v>242174</v>
      </c>
      <c r="B177" s="7" t="s">
        <v>34</v>
      </c>
      <c r="C177" s="3" t="str">
        <f>VLOOKUP(B177,'Accounts chart'!$A:$B,2,FALSE)</f>
        <v>รายรับค่าส่วนกลาง</v>
      </c>
      <c r="D177" t="s">
        <v>716</v>
      </c>
      <c r="E177" t="s">
        <v>494</v>
      </c>
      <c r="F177" t="s">
        <v>239</v>
      </c>
      <c r="G177" t="str">
        <f>VLOOKUP(F177,รายชื่อลูกบ้าน!$A:$B,2,FALSE)</f>
        <v>คุณเรืองชัย ศรีเมือง</v>
      </c>
      <c r="H177" t="s">
        <v>383</v>
      </c>
      <c r="J177" s="20">
        <v>7000</v>
      </c>
      <c r="K177" s="2"/>
    </row>
    <row r="178" spans="1:11">
      <c r="A178" s="2">
        <v>242174</v>
      </c>
      <c r="B178" s="7" t="s">
        <v>34</v>
      </c>
      <c r="C178" s="3" t="str">
        <f>VLOOKUP(B178,'Accounts chart'!$A:$B,2,FALSE)</f>
        <v>รายรับค่าส่วนกลาง</v>
      </c>
      <c r="D178" t="s">
        <v>716</v>
      </c>
      <c r="E178" t="s">
        <v>495</v>
      </c>
      <c r="F178" t="s">
        <v>317</v>
      </c>
      <c r="G178" t="str">
        <f>VLOOKUP(F178,รายชื่อลูกบ้าน!$A:$B,2,FALSE)</f>
        <v>คุณจิระศักดิ์ จันทร์โท</v>
      </c>
      <c r="H178" t="s">
        <v>384</v>
      </c>
      <c r="J178" s="20">
        <v>600</v>
      </c>
      <c r="K178" s="2"/>
    </row>
    <row r="179" spans="1:11">
      <c r="A179" s="2"/>
      <c r="C179" s="3"/>
      <c r="I179" s="20"/>
      <c r="J179" s="20"/>
      <c r="K179" s="2"/>
    </row>
    <row r="180" spans="1:11">
      <c r="A180" s="2">
        <v>242175</v>
      </c>
      <c r="B180" s="7" t="s">
        <v>3</v>
      </c>
      <c r="C180" s="3" t="str">
        <f>VLOOKUP(B180,'Accounts chart'!$A:$B,2,FALSE)</f>
        <v>ธนาคารกสิกรไทย SA-040-1-56500-0</v>
      </c>
      <c r="D180" t="s">
        <v>717</v>
      </c>
      <c r="E180" t="s">
        <v>496</v>
      </c>
      <c r="F180" t="s">
        <v>236</v>
      </c>
      <c r="G180" t="str">
        <f>VLOOKUP(F180,รายชื่อลูกบ้าน!$A:$B,2,FALSE)</f>
        <v>คุณพงษ์พิชญ์-คุณชลธิดา บุญศิริ</v>
      </c>
      <c r="H180" t="s">
        <v>384</v>
      </c>
      <c r="I180" s="20">
        <v>600</v>
      </c>
      <c r="J180" s="20"/>
      <c r="K180" s="2"/>
    </row>
    <row r="181" spans="1:11">
      <c r="A181" s="2">
        <v>242175</v>
      </c>
      <c r="B181" s="7" t="s">
        <v>3</v>
      </c>
      <c r="C181" s="3" t="str">
        <f>VLOOKUP(B181,'Accounts chart'!$A:$B,2,FALSE)</f>
        <v>ธนาคารกสิกรไทย SA-040-1-56500-0</v>
      </c>
      <c r="D181" t="s">
        <v>717</v>
      </c>
      <c r="E181" t="s">
        <v>497</v>
      </c>
      <c r="F181" t="s">
        <v>304</v>
      </c>
      <c r="G181" t="str">
        <f>VLOOKUP(F181,รายชื่อลูกบ้าน!$A:$B,2,FALSE)</f>
        <v>คุณกฤษณะ ฤทธิ์โพธิ์</v>
      </c>
      <c r="H181" t="s">
        <v>400</v>
      </c>
      <c r="I181" s="20">
        <v>600</v>
      </c>
      <c r="J181" s="20"/>
      <c r="K181" s="2"/>
    </row>
    <row r="182" spans="1:11">
      <c r="A182" s="2">
        <v>242175</v>
      </c>
      <c r="B182" s="7" t="s">
        <v>3</v>
      </c>
      <c r="C182" s="3" t="str">
        <f>VLOOKUP(B182,'Accounts chart'!$A:$B,2,FALSE)</f>
        <v>ธนาคารกสิกรไทย SA-040-1-56500-0</v>
      </c>
      <c r="D182" t="s">
        <v>717</v>
      </c>
      <c r="E182" t="s">
        <v>498</v>
      </c>
      <c r="F182" t="s">
        <v>304</v>
      </c>
      <c r="G182" t="str">
        <f>VLOOKUP(F182,รายชื่อลูกบ้าน!$A:$B,2,FALSE)</f>
        <v>คุณกฤษณะ ฤทธิ์โพธิ์</v>
      </c>
      <c r="H182" t="s">
        <v>384</v>
      </c>
      <c r="I182" s="20">
        <v>600</v>
      </c>
      <c r="J182" s="20"/>
      <c r="K182" s="2"/>
    </row>
    <row r="183" spans="1:11">
      <c r="A183" s="2">
        <v>242175</v>
      </c>
      <c r="B183" s="7" t="s">
        <v>3</v>
      </c>
      <c r="C183" s="3" t="str">
        <f>VLOOKUP(B183,'Accounts chart'!$A:$B,2,FALSE)</f>
        <v>ธนาคารกสิกรไทย SA-040-1-56500-0</v>
      </c>
      <c r="D183" t="s">
        <v>717</v>
      </c>
      <c r="E183" t="s">
        <v>499</v>
      </c>
      <c r="F183" t="s">
        <v>236</v>
      </c>
      <c r="G183" t="str">
        <f>VLOOKUP(F183,รายชื่อลูกบ้าน!$A:$B,2,FALSE)</f>
        <v>คุณพงษ์พิชญ์-คุณชลธิดา บุญศิริ</v>
      </c>
      <c r="H183" t="s">
        <v>408</v>
      </c>
      <c r="I183" s="20">
        <v>1800</v>
      </c>
      <c r="J183" s="20"/>
      <c r="K183" s="2"/>
    </row>
    <row r="184" spans="1:11">
      <c r="A184" s="2">
        <v>242175</v>
      </c>
      <c r="B184" s="7" t="s">
        <v>34</v>
      </c>
      <c r="C184" s="3" t="str">
        <f>VLOOKUP(B184,'Accounts chart'!$A:$B,2,FALSE)</f>
        <v>รายรับค่าส่วนกลาง</v>
      </c>
      <c r="D184" t="s">
        <v>717</v>
      </c>
      <c r="E184" t="s">
        <v>496</v>
      </c>
      <c r="F184" t="s">
        <v>236</v>
      </c>
      <c r="G184" t="str">
        <f>VLOOKUP(F184,รายชื่อลูกบ้าน!$A:$B,2,FALSE)</f>
        <v>คุณพงษ์พิชญ์-คุณชลธิดา บุญศิริ</v>
      </c>
      <c r="H184" t="s">
        <v>384</v>
      </c>
      <c r="J184" s="20">
        <v>600</v>
      </c>
      <c r="K184" s="2"/>
    </row>
    <row r="185" spans="1:11">
      <c r="A185" s="2">
        <v>242175</v>
      </c>
      <c r="B185" s="7" t="s">
        <v>4</v>
      </c>
      <c r="C185" s="3" t="str">
        <f>VLOOKUP(B185,'Accounts chart'!$A:$B,2,FALSE)</f>
        <v>ลูกหนี้ค่าส่วนกลาง</v>
      </c>
      <c r="D185" t="s">
        <v>717</v>
      </c>
      <c r="E185" t="s">
        <v>497</v>
      </c>
      <c r="F185" t="s">
        <v>304</v>
      </c>
      <c r="G185" t="str">
        <f>VLOOKUP(F185,รายชื่อลูกบ้าน!$A:$B,2,FALSE)</f>
        <v>คุณกฤษณะ ฤทธิ์โพธิ์</v>
      </c>
      <c r="H185" t="s">
        <v>400</v>
      </c>
      <c r="J185" s="20">
        <v>600</v>
      </c>
      <c r="K185" s="2"/>
    </row>
    <row r="186" spans="1:11">
      <c r="A186" s="2">
        <v>242175</v>
      </c>
      <c r="B186" s="7" t="s">
        <v>34</v>
      </c>
      <c r="C186" s="3" t="str">
        <f>VLOOKUP(B186,'Accounts chart'!$A:$B,2,FALSE)</f>
        <v>รายรับค่าส่วนกลาง</v>
      </c>
      <c r="D186" t="s">
        <v>717</v>
      </c>
      <c r="E186" t="s">
        <v>498</v>
      </c>
      <c r="F186" t="s">
        <v>304</v>
      </c>
      <c r="G186" t="str">
        <f>VLOOKUP(F186,รายชื่อลูกบ้าน!$A:$B,2,FALSE)</f>
        <v>คุณกฤษณะ ฤทธิ์โพธิ์</v>
      </c>
      <c r="H186" t="s">
        <v>384</v>
      </c>
      <c r="J186" s="20">
        <v>600</v>
      </c>
      <c r="K186" s="2"/>
    </row>
    <row r="187" spans="1:11">
      <c r="A187" s="2">
        <v>242175</v>
      </c>
      <c r="B187" s="7" t="s">
        <v>4</v>
      </c>
      <c r="C187" s="3" t="str">
        <f>VLOOKUP(B187,'Accounts chart'!$A:$B,2,FALSE)</f>
        <v>ลูกหนี้ค่าส่วนกลาง</v>
      </c>
      <c r="D187" t="s">
        <v>717</v>
      </c>
      <c r="E187" t="s">
        <v>499</v>
      </c>
      <c r="F187" t="s">
        <v>236</v>
      </c>
      <c r="G187" t="str">
        <f>VLOOKUP(F187,รายชื่อลูกบ้าน!$A:$B,2,FALSE)</f>
        <v>คุณพงษ์พิชญ์-คุณชลธิดา บุญศิริ</v>
      </c>
      <c r="H187" t="s">
        <v>408</v>
      </c>
      <c r="J187" s="20">
        <v>1800</v>
      </c>
      <c r="K187" s="2"/>
    </row>
    <row r="188" spans="1:11">
      <c r="A188" s="2"/>
      <c r="C188" s="3"/>
      <c r="I188" s="20"/>
      <c r="J188" s="20"/>
      <c r="K188" s="2"/>
    </row>
    <row r="189" spans="1:11">
      <c r="A189" s="2">
        <v>242181</v>
      </c>
      <c r="B189" s="7" t="s">
        <v>3</v>
      </c>
      <c r="C189" s="3" t="str">
        <f>VLOOKUP(B189,'Accounts chart'!$A:$B,2,FALSE)</f>
        <v>ธนาคารกสิกรไทย SA-040-1-56500-0</v>
      </c>
      <c r="D189" t="s">
        <v>718</v>
      </c>
      <c r="E189" t="s">
        <v>500</v>
      </c>
      <c r="F189" t="s">
        <v>362</v>
      </c>
      <c r="G189" t="str">
        <f>VLOOKUP(F189,รายชื่อลูกบ้าน!$A:$B,2,FALSE)</f>
        <v>คุณพีรภัทร์ ศัสตราพฤกษ์</v>
      </c>
      <c r="H189" t="s">
        <v>384</v>
      </c>
      <c r="I189" s="20">
        <v>600</v>
      </c>
      <c r="J189" s="20"/>
      <c r="K189" s="2"/>
    </row>
    <row r="190" spans="1:11">
      <c r="A190" s="2">
        <v>242181</v>
      </c>
      <c r="B190" s="7" t="s">
        <v>3</v>
      </c>
      <c r="C190" s="3" t="str">
        <f>VLOOKUP(B190,'Accounts chart'!$A:$B,2,FALSE)</f>
        <v>ธนาคารกสิกรไทย SA-040-1-56500-0</v>
      </c>
      <c r="D190" t="s">
        <v>718</v>
      </c>
      <c r="E190" t="s">
        <v>501</v>
      </c>
      <c r="F190" t="s">
        <v>251</v>
      </c>
      <c r="G190" t="str">
        <f>VLOOKUP(F190,รายชื่อลูกบ้าน!$A:$B,2,FALSE)</f>
        <v>คุณวิบูลย์ ฤทธิ์ทองพิทักษ์</v>
      </c>
      <c r="H190" t="s">
        <v>384</v>
      </c>
      <c r="I190" s="20">
        <v>600</v>
      </c>
      <c r="J190" s="20"/>
      <c r="K190" s="2"/>
    </row>
    <row r="191" spans="1:11">
      <c r="A191" s="2">
        <v>242181</v>
      </c>
      <c r="B191" s="7" t="s">
        <v>34</v>
      </c>
      <c r="C191" s="3" t="str">
        <f>VLOOKUP(B191,'Accounts chart'!$A:$B,2,FALSE)</f>
        <v>รายรับค่าส่วนกลาง</v>
      </c>
      <c r="D191" t="s">
        <v>718</v>
      </c>
      <c r="E191" t="s">
        <v>500</v>
      </c>
      <c r="F191" t="s">
        <v>362</v>
      </c>
      <c r="G191" t="str">
        <f>VLOOKUP(F191,รายชื่อลูกบ้าน!$A:$B,2,FALSE)</f>
        <v>คุณพีรภัทร์ ศัสตราพฤกษ์</v>
      </c>
      <c r="H191" t="s">
        <v>384</v>
      </c>
      <c r="J191" s="20">
        <v>600</v>
      </c>
      <c r="K191" s="2"/>
    </row>
    <row r="192" spans="1:11">
      <c r="A192" s="2">
        <v>242181</v>
      </c>
      <c r="B192" s="7" t="s">
        <v>34</v>
      </c>
      <c r="C192" s="3" t="str">
        <f>VLOOKUP(B192,'Accounts chart'!$A:$B,2,FALSE)</f>
        <v>รายรับค่าส่วนกลาง</v>
      </c>
      <c r="D192" t="s">
        <v>718</v>
      </c>
      <c r="E192" t="s">
        <v>501</v>
      </c>
      <c r="F192" t="s">
        <v>251</v>
      </c>
      <c r="G192" t="str">
        <f>VLOOKUP(F192,รายชื่อลูกบ้าน!$A:$B,2,FALSE)</f>
        <v>คุณวิบูลย์ ฤทธิ์ทองพิทักษ์</v>
      </c>
      <c r="H192" t="s">
        <v>384</v>
      </c>
      <c r="J192" s="20">
        <v>600</v>
      </c>
      <c r="K192" s="2"/>
    </row>
    <row r="193" spans="1:11">
      <c r="A193" s="2"/>
      <c r="C193" s="3"/>
      <c r="I193" s="20"/>
      <c r="J193" s="20"/>
      <c r="K193" s="2"/>
    </row>
    <row r="194" spans="1:11">
      <c r="A194" s="2">
        <v>242184</v>
      </c>
      <c r="B194" s="7" t="s">
        <v>3</v>
      </c>
      <c r="C194" s="3" t="str">
        <f>VLOOKUP(B194,'Accounts chart'!$A:$B,2,FALSE)</f>
        <v>ธนาคารกสิกรไทย SA-040-1-56500-0</v>
      </c>
      <c r="D194" t="s">
        <v>719</v>
      </c>
      <c r="E194" t="s">
        <v>502</v>
      </c>
      <c r="F194" t="s">
        <v>275</v>
      </c>
      <c r="G194" t="str">
        <f>VLOOKUP(F194,รายชื่อลูกบ้าน!$A:$B,2,FALSE)</f>
        <v>คุณสมศักดิ์-คุณสวาท เลิศเจริญเสริมสุข</v>
      </c>
      <c r="H194" t="s">
        <v>383</v>
      </c>
      <c r="I194" s="20">
        <v>7000</v>
      </c>
      <c r="J194" s="20"/>
      <c r="K194" s="2"/>
    </row>
    <row r="195" spans="1:11">
      <c r="A195" s="2">
        <v>242184</v>
      </c>
      <c r="B195" s="7" t="s">
        <v>34</v>
      </c>
      <c r="C195" s="3" t="str">
        <f>VLOOKUP(B195,'Accounts chart'!$A:$B,2,FALSE)</f>
        <v>รายรับค่าส่วนกลาง</v>
      </c>
      <c r="D195" t="s">
        <v>719</v>
      </c>
      <c r="E195" t="s">
        <v>502</v>
      </c>
      <c r="F195" t="s">
        <v>275</v>
      </c>
      <c r="G195" t="str">
        <f>VLOOKUP(F195,รายชื่อลูกบ้าน!$A:$B,2,FALSE)</f>
        <v>คุณสมศักดิ์-คุณสวาท เลิศเจริญเสริมสุข</v>
      </c>
      <c r="H195" t="s">
        <v>383</v>
      </c>
      <c r="J195" s="20">
        <v>7000</v>
      </c>
      <c r="K195" s="2"/>
    </row>
    <row r="196" spans="1:11">
      <c r="A196" s="2"/>
      <c r="C196" s="3"/>
      <c r="I196" s="20"/>
      <c r="J196" s="20"/>
      <c r="K196" s="2"/>
    </row>
    <row r="197" spans="1:11">
      <c r="A197" s="2">
        <v>242185</v>
      </c>
      <c r="B197" s="7" t="s">
        <v>3</v>
      </c>
      <c r="C197" s="3" t="str">
        <f>VLOOKUP(B197,'Accounts chart'!$A:$B,2,FALSE)</f>
        <v>ธนาคารกสิกรไทย SA-040-1-56500-0</v>
      </c>
      <c r="D197" t="s">
        <v>720</v>
      </c>
      <c r="E197" t="s">
        <v>503</v>
      </c>
      <c r="F197" t="s">
        <v>227</v>
      </c>
      <c r="G197" t="str">
        <f>VLOOKUP(F197,รายชื่อลูกบ้าน!$A:$B,2,FALSE)</f>
        <v>คุณเกียรติชัย การรุ่งเรือง-คุณศศิธร เศียรศิริบัณฑิต</v>
      </c>
      <c r="H197" t="s">
        <v>384</v>
      </c>
      <c r="I197" s="20">
        <v>600</v>
      </c>
      <c r="J197" s="20"/>
      <c r="K197" s="2"/>
    </row>
    <row r="198" spans="1:11">
      <c r="A198" s="2">
        <v>242185</v>
      </c>
      <c r="B198" s="7" t="s">
        <v>3</v>
      </c>
      <c r="C198" s="3" t="str">
        <f>VLOOKUP(B198,'Accounts chart'!$A:$B,2,FALSE)</f>
        <v>ธนาคารกสิกรไทย SA-040-1-56500-0</v>
      </c>
      <c r="D198" t="s">
        <v>720</v>
      </c>
      <c r="E198" t="s">
        <v>504</v>
      </c>
      <c r="F198" t="s">
        <v>241</v>
      </c>
      <c r="G198" t="str">
        <f>VLOOKUP(F198,รายชื่อลูกบ้าน!$A:$B,2,FALSE)</f>
        <v>คุณสุกิจ หมื่นยศ</v>
      </c>
      <c r="H198" t="s">
        <v>384</v>
      </c>
      <c r="I198" s="20">
        <v>600</v>
      </c>
      <c r="J198" s="20"/>
      <c r="K198" s="2"/>
    </row>
    <row r="199" spans="1:11">
      <c r="A199" s="2">
        <v>242185</v>
      </c>
      <c r="B199" s="7" t="s">
        <v>3</v>
      </c>
      <c r="C199" s="3" t="str">
        <f>VLOOKUP(B199,'Accounts chart'!$A:$B,2,FALSE)</f>
        <v>ธนาคารกสิกรไทย SA-040-1-56500-0</v>
      </c>
      <c r="D199" t="s">
        <v>720</v>
      </c>
      <c r="E199" t="s">
        <v>505</v>
      </c>
      <c r="F199" t="s">
        <v>302</v>
      </c>
      <c r="G199" t="str">
        <f>VLOOKUP(F199,รายชื่อลูกบ้าน!$A:$B,2,FALSE)</f>
        <v>คุณณัฐพงษ์ ศรีไชยวาน</v>
      </c>
      <c r="H199" t="s">
        <v>383</v>
      </c>
      <c r="I199" s="20">
        <v>7000</v>
      </c>
      <c r="J199" s="20"/>
      <c r="K199" s="2"/>
    </row>
    <row r="200" spans="1:11">
      <c r="A200" s="2">
        <v>242185</v>
      </c>
      <c r="B200" s="7" t="s">
        <v>3</v>
      </c>
      <c r="C200" s="3" t="str">
        <f>VLOOKUP(B200,'Accounts chart'!$A:$B,2,FALSE)</f>
        <v>ธนาคารกสิกรไทย SA-040-1-56500-0</v>
      </c>
      <c r="D200" t="s">
        <v>720</v>
      </c>
      <c r="E200" t="s">
        <v>506</v>
      </c>
      <c r="F200" t="s">
        <v>209</v>
      </c>
      <c r="G200" t="str">
        <f>VLOOKUP(F200,รายชื่อลูกบ้าน!$A:$B,2,FALSE)</f>
        <v>คุณศักดา ไฮงาม</v>
      </c>
      <c r="H200" t="s">
        <v>409</v>
      </c>
      <c r="I200" s="20">
        <v>1200.69</v>
      </c>
      <c r="J200" s="20"/>
      <c r="K200" s="2"/>
    </row>
    <row r="201" spans="1:11">
      <c r="A201" s="2">
        <v>242185</v>
      </c>
      <c r="B201" s="7" t="s">
        <v>3</v>
      </c>
      <c r="C201" s="3" t="str">
        <f>VLOOKUP(B201,'Accounts chart'!$A:$B,2,FALSE)</f>
        <v>ธนาคารกสิกรไทย SA-040-1-56500-0</v>
      </c>
      <c r="D201" t="s">
        <v>720</v>
      </c>
      <c r="E201" t="s">
        <v>507</v>
      </c>
      <c r="F201" t="s">
        <v>335</v>
      </c>
      <c r="G201" t="str">
        <f>VLOOKUP(F201,รายชื่อลูกบ้าน!$A:$B,2,FALSE)</f>
        <v>คุณอภิกฤช อำนาจช่วย</v>
      </c>
      <c r="H201" t="s">
        <v>383</v>
      </c>
      <c r="I201" s="20">
        <v>7000</v>
      </c>
      <c r="J201" s="20"/>
      <c r="K201" s="2"/>
    </row>
    <row r="202" spans="1:11">
      <c r="A202" s="2">
        <v>242185</v>
      </c>
      <c r="B202" s="7" t="s">
        <v>3</v>
      </c>
      <c r="C202" s="3" t="str">
        <f>VLOOKUP(B202,'Accounts chart'!$A:$B,2,FALSE)</f>
        <v>ธนาคารกสิกรไทย SA-040-1-56500-0</v>
      </c>
      <c r="D202" t="s">
        <v>720</v>
      </c>
      <c r="E202" t="s">
        <v>508</v>
      </c>
      <c r="F202" t="s">
        <v>124</v>
      </c>
      <c r="G202" t="str">
        <f>VLOOKUP(F202,รายชื่อลูกบ้าน!$A:$B,2,FALSE)</f>
        <v>คุณพงษ์ศักดิ์ วัฒนจรูญโรจน์</v>
      </c>
      <c r="H202" t="s">
        <v>383</v>
      </c>
      <c r="I202" s="20">
        <v>7000</v>
      </c>
      <c r="J202" s="20"/>
      <c r="K202" s="2"/>
    </row>
    <row r="203" spans="1:11">
      <c r="A203" s="2">
        <v>242185</v>
      </c>
      <c r="B203" s="7" t="s">
        <v>3</v>
      </c>
      <c r="C203" s="3" t="str">
        <f>VLOOKUP(B203,'Accounts chart'!$A:$B,2,FALSE)</f>
        <v>ธนาคารกสิกรไทย SA-040-1-56500-0</v>
      </c>
      <c r="D203" t="s">
        <v>720</v>
      </c>
      <c r="E203" t="s">
        <v>509</v>
      </c>
      <c r="F203" t="s">
        <v>300</v>
      </c>
      <c r="G203" t="str">
        <f>VLOOKUP(F203,รายชื่อลูกบ้าน!$A:$B,2,FALSE)</f>
        <v>คุณเชาว์วัศ-คุณสุวภาพ เวชทัศน์</v>
      </c>
      <c r="H203" t="s">
        <v>384</v>
      </c>
      <c r="I203" s="20">
        <v>600</v>
      </c>
      <c r="J203" s="20"/>
      <c r="K203" s="2"/>
    </row>
    <row r="204" spans="1:11">
      <c r="A204" s="2">
        <v>242185</v>
      </c>
      <c r="B204" s="7" t="s">
        <v>3</v>
      </c>
      <c r="C204" s="3" t="str">
        <f>VLOOKUP(B204,'Accounts chart'!$A:$B,2,FALSE)</f>
        <v>ธนาคารกสิกรไทย SA-040-1-56500-0</v>
      </c>
      <c r="D204" t="s">
        <v>720</v>
      </c>
      <c r="E204" t="s">
        <v>510</v>
      </c>
      <c r="F204" t="s">
        <v>195</v>
      </c>
      <c r="G204" t="str">
        <f>VLOOKUP(F204,รายชื่อลูกบ้าน!$A:$B,2,FALSE)</f>
        <v>คุณชานนท์ นนทรังษี</v>
      </c>
      <c r="H204" t="s">
        <v>384</v>
      </c>
      <c r="I204" s="20">
        <v>600</v>
      </c>
      <c r="J204" s="20"/>
      <c r="K204" s="2"/>
    </row>
    <row r="205" spans="1:11">
      <c r="A205" s="2">
        <v>242185</v>
      </c>
      <c r="B205" s="7" t="s">
        <v>3</v>
      </c>
      <c r="C205" s="3" t="str">
        <f>VLOOKUP(B205,'Accounts chart'!$A:$B,2,FALSE)</f>
        <v>ธนาคารกสิกรไทย SA-040-1-56500-0</v>
      </c>
      <c r="D205" t="s">
        <v>720</v>
      </c>
      <c r="E205" t="s">
        <v>511</v>
      </c>
      <c r="F205" t="s">
        <v>285</v>
      </c>
      <c r="G205" t="str">
        <f>VLOOKUP(F205,รายชื่อลูกบ้าน!$A:$B,2,FALSE)</f>
        <v>คุณประจักษ์ เนื่องละออ-คุณวนิดา เส็งนิสัย</v>
      </c>
      <c r="H205" t="s">
        <v>384</v>
      </c>
      <c r="I205" s="20">
        <v>601.12</v>
      </c>
      <c r="J205" s="20"/>
      <c r="K205" s="2"/>
    </row>
    <row r="206" spans="1:11">
      <c r="A206" s="2">
        <v>242185</v>
      </c>
      <c r="B206" s="7" t="s">
        <v>34</v>
      </c>
      <c r="C206" s="3" t="str">
        <f>VLOOKUP(B206,'Accounts chart'!$A:$B,2,FALSE)</f>
        <v>รายรับค่าส่วนกลาง</v>
      </c>
      <c r="D206" t="s">
        <v>720</v>
      </c>
      <c r="E206" t="s">
        <v>503</v>
      </c>
      <c r="F206" t="s">
        <v>227</v>
      </c>
      <c r="G206" t="str">
        <f>VLOOKUP(F206,รายชื่อลูกบ้าน!$A:$B,2,FALSE)</f>
        <v>คุณเกียรติชัย การรุ่งเรือง-คุณศศิธร เศียรศิริบัณฑิต</v>
      </c>
      <c r="H206" t="s">
        <v>384</v>
      </c>
      <c r="J206" s="20">
        <v>600</v>
      </c>
      <c r="K206" s="2"/>
    </row>
    <row r="207" spans="1:11">
      <c r="A207" s="2">
        <v>242185</v>
      </c>
      <c r="B207" s="7" t="s">
        <v>34</v>
      </c>
      <c r="C207" s="3" t="str">
        <f>VLOOKUP(B207,'Accounts chart'!$A:$B,2,FALSE)</f>
        <v>รายรับค่าส่วนกลาง</v>
      </c>
      <c r="D207" t="s">
        <v>720</v>
      </c>
      <c r="E207" t="s">
        <v>504</v>
      </c>
      <c r="F207" t="s">
        <v>241</v>
      </c>
      <c r="G207" t="str">
        <f>VLOOKUP(F207,รายชื่อลูกบ้าน!$A:$B,2,FALSE)</f>
        <v>คุณสุกิจ หมื่นยศ</v>
      </c>
      <c r="H207" t="s">
        <v>384</v>
      </c>
      <c r="J207" s="20">
        <v>600</v>
      </c>
      <c r="K207" s="2"/>
    </row>
    <row r="208" spans="1:11">
      <c r="A208" s="2">
        <v>242185</v>
      </c>
      <c r="B208" s="7" t="s">
        <v>34</v>
      </c>
      <c r="C208" s="3" t="str">
        <f>VLOOKUP(B208,'Accounts chart'!$A:$B,2,FALSE)</f>
        <v>รายรับค่าส่วนกลาง</v>
      </c>
      <c r="D208" t="s">
        <v>720</v>
      </c>
      <c r="E208" t="s">
        <v>505</v>
      </c>
      <c r="F208" t="s">
        <v>302</v>
      </c>
      <c r="G208" t="str">
        <f>VLOOKUP(F208,รายชื่อลูกบ้าน!$A:$B,2,FALSE)</f>
        <v>คุณณัฐพงษ์ ศรีไชยวาน</v>
      </c>
      <c r="H208" t="s">
        <v>383</v>
      </c>
      <c r="J208" s="20">
        <v>7000</v>
      </c>
      <c r="K208" s="2"/>
    </row>
    <row r="209" spans="1:11">
      <c r="A209" s="2">
        <v>242185</v>
      </c>
      <c r="B209" s="7" t="s">
        <v>4</v>
      </c>
      <c r="C209" s="3" t="str">
        <f>VLOOKUP(B209,'Accounts chart'!$A:$B,2,FALSE)</f>
        <v>ลูกหนี้ค่าส่วนกลาง</v>
      </c>
      <c r="D209" t="s">
        <v>720</v>
      </c>
      <c r="E209" t="s">
        <v>506</v>
      </c>
      <c r="F209" t="s">
        <v>209</v>
      </c>
      <c r="G209" t="str">
        <f>VLOOKUP(F209,รายชื่อลูกบ้าน!$A:$B,2,FALSE)</f>
        <v>คุณศักดา ไฮงาม</v>
      </c>
      <c r="H209" t="s">
        <v>409</v>
      </c>
      <c r="J209" s="20">
        <v>1200.69</v>
      </c>
      <c r="K209" s="2"/>
    </row>
    <row r="210" spans="1:11">
      <c r="A210" s="2">
        <v>242185</v>
      </c>
      <c r="B210" s="7" t="s">
        <v>34</v>
      </c>
      <c r="C210" s="3" t="str">
        <f>VLOOKUP(B210,'Accounts chart'!$A:$B,2,FALSE)</f>
        <v>รายรับค่าส่วนกลาง</v>
      </c>
      <c r="D210" t="s">
        <v>720</v>
      </c>
      <c r="E210" t="s">
        <v>507</v>
      </c>
      <c r="F210" t="s">
        <v>335</v>
      </c>
      <c r="G210" t="str">
        <f>VLOOKUP(F210,รายชื่อลูกบ้าน!$A:$B,2,FALSE)</f>
        <v>คุณอภิกฤช อำนาจช่วย</v>
      </c>
      <c r="H210" t="s">
        <v>383</v>
      </c>
      <c r="J210" s="20">
        <v>7000</v>
      </c>
      <c r="K210" s="2"/>
    </row>
    <row r="211" spans="1:11">
      <c r="A211" s="2">
        <v>242185</v>
      </c>
      <c r="B211" s="7" t="s">
        <v>34</v>
      </c>
      <c r="C211" s="3" t="str">
        <f>VLOOKUP(B211,'Accounts chart'!$A:$B,2,FALSE)</f>
        <v>รายรับค่าส่วนกลาง</v>
      </c>
      <c r="D211" t="s">
        <v>720</v>
      </c>
      <c r="E211" t="s">
        <v>508</v>
      </c>
      <c r="F211" t="s">
        <v>124</v>
      </c>
      <c r="G211" t="str">
        <f>VLOOKUP(F211,รายชื่อลูกบ้าน!$A:$B,2,FALSE)</f>
        <v>คุณพงษ์ศักดิ์ วัฒนจรูญโรจน์</v>
      </c>
      <c r="H211" t="s">
        <v>383</v>
      </c>
      <c r="J211" s="20">
        <v>7000</v>
      </c>
      <c r="K211" s="2"/>
    </row>
    <row r="212" spans="1:11">
      <c r="A212" s="2">
        <v>242185</v>
      </c>
      <c r="B212" s="7" t="s">
        <v>34</v>
      </c>
      <c r="C212" s="3" t="str">
        <f>VLOOKUP(B212,'Accounts chart'!$A:$B,2,FALSE)</f>
        <v>รายรับค่าส่วนกลาง</v>
      </c>
      <c r="D212" t="s">
        <v>720</v>
      </c>
      <c r="E212" t="s">
        <v>509</v>
      </c>
      <c r="F212" t="s">
        <v>300</v>
      </c>
      <c r="G212" t="str">
        <f>VLOOKUP(F212,รายชื่อลูกบ้าน!$A:$B,2,FALSE)</f>
        <v>คุณเชาว์วัศ-คุณสุวภาพ เวชทัศน์</v>
      </c>
      <c r="H212" t="s">
        <v>384</v>
      </c>
      <c r="J212" s="20">
        <v>600</v>
      </c>
      <c r="K212" s="2"/>
    </row>
    <row r="213" spans="1:11">
      <c r="A213" s="2">
        <v>242185</v>
      </c>
      <c r="B213" s="7" t="s">
        <v>34</v>
      </c>
      <c r="C213" s="3" t="str">
        <f>VLOOKUP(B213,'Accounts chart'!$A:$B,2,FALSE)</f>
        <v>รายรับค่าส่วนกลาง</v>
      </c>
      <c r="D213" t="s">
        <v>720</v>
      </c>
      <c r="E213" t="s">
        <v>510</v>
      </c>
      <c r="F213" t="s">
        <v>195</v>
      </c>
      <c r="G213" t="str">
        <f>VLOOKUP(F213,รายชื่อลูกบ้าน!$A:$B,2,FALSE)</f>
        <v>คุณชานนท์ นนทรังษี</v>
      </c>
      <c r="H213" t="s">
        <v>384</v>
      </c>
      <c r="J213" s="20">
        <v>600</v>
      </c>
      <c r="K213" s="2"/>
    </row>
    <row r="214" spans="1:11">
      <c r="A214" s="2">
        <v>242185</v>
      </c>
      <c r="B214" s="7" t="s">
        <v>34</v>
      </c>
      <c r="C214" s="3" t="str">
        <f>VLOOKUP(B214,'Accounts chart'!$A:$B,2,FALSE)</f>
        <v>รายรับค่าส่วนกลาง</v>
      </c>
      <c r="D214" t="s">
        <v>720</v>
      </c>
      <c r="E214" t="s">
        <v>511</v>
      </c>
      <c r="F214" t="s">
        <v>285</v>
      </c>
      <c r="G214" t="str">
        <f>VLOOKUP(F214,รายชื่อลูกบ้าน!$A:$B,2,FALSE)</f>
        <v>คุณประจักษ์ เนื่องละออ-คุณวนิดา เส็งนิสัย</v>
      </c>
      <c r="H214" t="s">
        <v>384</v>
      </c>
      <c r="J214" s="20">
        <v>601.12</v>
      </c>
      <c r="K214" s="2"/>
    </row>
    <row r="215" spans="1:11">
      <c r="A215" s="2"/>
      <c r="C215" s="3"/>
      <c r="I215" s="20"/>
      <c r="J215" s="20"/>
      <c r="K215" s="2"/>
    </row>
    <row r="216" spans="1:11">
      <c r="A216" s="2"/>
      <c r="C216" s="3"/>
      <c r="I216" s="20"/>
      <c r="J216" s="20"/>
      <c r="K216" s="2"/>
    </row>
    <row r="217" spans="1:11">
      <c r="A217" s="2">
        <v>242186</v>
      </c>
      <c r="B217" s="7" t="s">
        <v>3</v>
      </c>
      <c r="C217" s="3" t="str">
        <f>VLOOKUP(B217,'Accounts chart'!$A:$B,2,FALSE)</f>
        <v>ธนาคารกสิกรไทย SA-040-1-56500-0</v>
      </c>
      <c r="D217" t="s">
        <v>721</v>
      </c>
      <c r="E217" t="s">
        <v>512</v>
      </c>
      <c r="F217" t="s">
        <v>173</v>
      </c>
      <c r="G217" t="str">
        <f>VLOOKUP(F217,รายชื่อลูกบ้าน!$A:$B,2,FALSE)</f>
        <v>คุณพิริยะ ทรัพย์เจริญ-คุณเยาวเรศ โกสุมพิทักษ์</v>
      </c>
      <c r="H217" t="s">
        <v>384</v>
      </c>
      <c r="I217" s="20">
        <v>600</v>
      </c>
      <c r="J217" s="20"/>
      <c r="K217" s="2"/>
    </row>
    <row r="218" spans="1:11">
      <c r="A218" s="2">
        <v>242186</v>
      </c>
      <c r="B218" s="7" t="s">
        <v>3</v>
      </c>
      <c r="C218" s="3" t="str">
        <f>VLOOKUP(B218,'Accounts chart'!$A:$B,2,FALSE)</f>
        <v>ธนาคารกสิกรไทย SA-040-1-56500-0</v>
      </c>
      <c r="D218" t="s">
        <v>721</v>
      </c>
      <c r="E218" t="s">
        <v>513</v>
      </c>
      <c r="F218" t="s">
        <v>255</v>
      </c>
      <c r="G218" t="str">
        <f>VLOOKUP(F218,รายชื่อลูกบ้าน!$A:$B,2,FALSE)</f>
        <v>คุณไชยยันต์ แก้วบุญศรี</v>
      </c>
      <c r="H218" t="s">
        <v>385</v>
      </c>
      <c r="I218" s="20">
        <v>600</v>
      </c>
      <c r="J218" s="20"/>
      <c r="K218" s="2"/>
    </row>
    <row r="219" spans="1:11">
      <c r="A219" s="2">
        <v>242186</v>
      </c>
      <c r="B219" s="7" t="s">
        <v>3</v>
      </c>
      <c r="C219" s="3" t="str">
        <f>VLOOKUP(B219,'Accounts chart'!$A:$B,2,FALSE)</f>
        <v>ธนาคารกสิกรไทย SA-040-1-56500-0</v>
      </c>
      <c r="D219" t="s">
        <v>721</v>
      </c>
      <c r="E219" t="s">
        <v>514</v>
      </c>
      <c r="F219" t="s">
        <v>267</v>
      </c>
      <c r="G219" t="str">
        <f>VLOOKUP(F219,รายชื่อลูกบ้าน!$A:$B,2,FALSE)</f>
        <v>คุณดนัย ฮาวต่อมแก้ว</v>
      </c>
      <c r="H219" t="s">
        <v>384</v>
      </c>
      <c r="I219" s="20">
        <v>600</v>
      </c>
      <c r="J219" s="20"/>
      <c r="K219" s="2"/>
    </row>
    <row r="220" spans="1:11">
      <c r="A220" s="2">
        <v>242186</v>
      </c>
      <c r="B220" s="7" t="s">
        <v>34</v>
      </c>
      <c r="C220" s="3" t="str">
        <f>VLOOKUP(B220,'Accounts chart'!$A:$B,2,FALSE)</f>
        <v>รายรับค่าส่วนกลาง</v>
      </c>
      <c r="D220" t="s">
        <v>721</v>
      </c>
      <c r="E220" t="s">
        <v>512</v>
      </c>
      <c r="F220" t="s">
        <v>173</v>
      </c>
      <c r="G220" t="str">
        <f>VLOOKUP(F220,รายชื่อลูกบ้าน!$A:$B,2,FALSE)</f>
        <v>คุณพิริยะ ทรัพย์เจริญ-คุณเยาวเรศ โกสุมพิทักษ์</v>
      </c>
      <c r="H220" t="s">
        <v>384</v>
      </c>
      <c r="J220" s="20">
        <v>600</v>
      </c>
      <c r="K220" s="2"/>
    </row>
    <row r="221" spans="1:11">
      <c r="A221" s="2">
        <v>242186</v>
      </c>
      <c r="B221" s="7" t="s">
        <v>34</v>
      </c>
      <c r="C221" s="3" t="str">
        <f>VLOOKUP(B221,'Accounts chart'!$A:$B,2,FALSE)</f>
        <v>รายรับค่าส่วนกลาง</v>
      </c>
      <c r="D221" t="s">
        <v>721</v>
      </c>
      <c r="E221" t="s">
        <v>513</v>
      </c>
      <c r="F221" t="s">
        <v>255</v>
      </c>
      <c r="G221" t="str">
        <f>VLOOKUP(F221,รายชื่อลูกบ้าน!$A:$B,2,FALSE)</f>
        <v>คุณไชยยันต์ แก้วบุญศรี</v>
      </c>
      <c r="H221" t="s">
        <v>385</v>
      </c>
      <c r="J221" s="20">
        <v>600</v>
      </c>
      <c r="K221" s="2"/>
    </row>
    <row r="222" spans="1:11">
      <c r="A222" s="2">
        <v>242186</v>
      </c>
      <c r="B222" s="7" t="s">
        <v>34</v>
      </c>
      <c r="C222" s="3" t="str">
        <f>VLOOKUP(B222,'Accounts chart'!$A:$B,2,FALSE)</f>
        <v>รายรับค่าส่วนกลาง</v>
      </c>
      <c r="D222" t="s">
        <v>721</v>
      </c>
      <c r="E222" t="s">
        <v>514</v>
      </c>
      <c r="F222" t="s">
        <v>267</v>
      </c>
      <c r="G222" t="str">
        <f>VLOOKUP(F222,รายชื่อลูกบ้าน!$A:$B,2,FALSE)</f>
        <v>คุณดนัย ฮาวต่อมแก้ว</v>
      </c>
      <c r="H222" t="s">
        <v>384</v>
      </c>
      <c r="J222" s="20">
        <v>600</v>
      </c>
      <c r="K222" s="2"/>
    </row>
    <row r="223" spans="1:11">
      <c r="A223" s="2"/>
      <c r="C223" s="3"/>
      <c r="I223" s="20"/>
      <c r="J223" s="20"/>
      <c r="K223" s="2"/>
    </row>
    <row r="224" spans="1:11">
      <c r="A224" s="2">
        <v>242187</v>
      </c>
      <c r="B224" s="7" t="s">
        <v>3</v>
      </c>
      <c r="C224" s="3" t="str">
        <f>VLOOKUP(B224,'Accounts chart'!$A:$B,2,FALSE)</f>
        <v>ธนาคารกสิกรไทย SA-040-1-56500-0</v>
      </c>
      <c r="D224" t="s">
        <v>722</v>
      </c>
      <c r="E224" t="s">
        <v>515</v>
      </c>
      <c r="F224" t="s">
        <v>319</v>
      </c>
      <c r="G224" t="str">
        <f>VLOOKUP(F224,รายชื่อลูกบ้าน!$A:$B,2,FALSE)</f>
        <v>คุณณัฐพงศ์ สุวรรณมณี</v>
      </c>
      <c r="H224" t="s">
        <v>384</v>
      </c>
      <c r="I224" s="20">
        <v>600</v>
      </c>
      <c r="J224" s="20"/>
      <c r="K224" s="2"/>
    </row>
    <row r="225" spans="1:11">
      <c r="A225" s="2">
        <v>242187</v>
      </c>
      <c r="B225" s="7" t="s">
        <v>3</v>
      </c>
      <c r="C225" s="3" t="str">
        <f>VLOOKUP(B225,'Accounts chart'!$A:$B,2,FALSE)</f>
        <v>ธนาคารกสิกรไทย SA-040-1-56500-0</v>
      </c>
      <c r="D225" t="s">
        <v>722</v>
      </c>
      <c r="E225" t="s">
        <v>516</v>
      </c>
      <c r="F225" t="s">
        <v>72</v>
      </c>
      <c r="G225" t="str">
        <f>VLOOKUP(F225,รายชื่อลูกบ้าน!$A:$B,2,FALSE)</f>
        <v>คุณวรวุฒิ นาทอง</v>
      </c>
      <c r="H225" t="s">
        <v>384</v>
      </c>
      <c r="I225" s="20">
        <v>600</v>
      </c>
      <c r="J225" s="20"/>
      <c r="K225" s="2"/>
    </row>
    <row r="226" spans="1:11">
      <c r="A226" s="2">
        <v>242187</v>
      </c>
      <c r="B226" s="7" t="s">
        <v>34</v>
      </c>
      <c r="C226" s="3" t="str">
        <f>VLOOKUP(B226,'Accounts chart'!$A:$B,2,FALSE)</f>
        <v>รายรับค่าส่วนกลาง</v>
      </c>
      <c r="D226" t="s">
        <v>722</v>
      </c>
      <c r="E226" t="s">
        <v>515</v>
      </c>
      <c r="F226" t="s">
        <v>319</v>
      </c>
      <c r="G226" t="str">
        <f>VLOOKUP(F226,รายชื่อลูกบ้าน!$A:$B,2,FALSE)</f>
        <v>คุณณัฐพงศ์ สุวรรณมณี</v>
      </c>
      <c r="H226" t="s">
        <v>384</v>
      </c>
      <c r="J226" s="20">
        <v>600</v>
      </c>
      <c r="K226" s="2"/>
    </row>
    <row r="227" spans="1:11">
      <c r="A227" s="2">
        <v>242187</v>
      </c>
      <c r="B227" s="7" t="s">
        <v>34</v>
      </c>
      <c r="C227" s="3" t="str">
        <f>VLOOKUP(B227,'Accounts chart'!$A:$B,2,FALSE)</f>
        <v>รายรับค่าส่วนกลาง</v>
      </c>
      <c r="D227" t="s">
        <v>722</v>
      </c>
      <c r="E227" t="s">
        <v>516</v>
      </c>
      <c r="F227" t="s">
        <v>72</v>
      </c>
      <c r="G227" t="str">
        <f>VLOOKUP(F227,รายชื่อลูกบ้าน!$A:$B,2,FALSE)</f>
        <v>คุณวรวุฒิ นาทอง</v>
      </c>
      <c r="H227" t="s">
        <v>384</v>
      </c>
      <c r="J227" s="20">
        <v>600</v>
      </c>
      <c r="K227" s="2"/>
    </row>
    <row r="228" spans="1:11">
      <c r="A228" s="2"/>
      <c r="C228" s="3"/>
      <c r="I228" s="20"/>
      <c r="J228" s="20"/>
      <c r="K228" s="2"/>
    </row>
    <row r="229" spans="1:11">
      <c r="A229" s="2">
        <v>242188</v>
      </c>
      <c r="B229" s="7" t="s">
        <v>3</v>
      </c>
      <c r="C229" s="3" t="str">
        <f>VLOOKUP(B229,'Accounts chart'!$A:$B,2,FALSE)</f>
        <v>ธนาคารกสิกรไทย SA-040-1-56500-0</v>
      </c>
      <c r="D229" t="s">
        <v>723</v>
      </c>
      <c r="E229" t="s">
        <v>517</v>
      </c>
      <c r="F229" t="s">
        <v>323</v>
      </c>
      <c r="G229" t="str">
        <f>VLOOKUP(F229,รายชื่อลูกบ้าน!$A:$B,2,FALSE)</f>
        <v>คุณเกียงไกร ไชยเดช</v>
      </c>
      <c r="H229" t="s">
        <v>384</v>
      </c>
      <c r="I229" s="20">
        <v>600</v>
      </c>
      <c r="J229" s="20"/>
      <c r="K229" s="2"/>
    </row>
    <row r="230" spans="1:11">
      <c r="A230" s="2">
        <v>242188</v>
      </c>
      <c r="B230" s="7" t="s">
        <v>3</v>
      </c>
      <c r="C230" s="3" t="str">
        <f>VLOOKUP(B230,'Accounts chart'!$A:$B,2,FALSE)</f>
        <v>ธนาคารกสิกรไทย SA-040-1-56500-0</v>
      </c>
      <c r="D230" t="s">
        <v>723</v>
      </c>
      <c r="E230" t="s">
        <v>518</v>
      </c>
      <c r="F230" t="s">
        <v>201</v>
      </c>
      <c r="G230" t="str">
        <f>VLOOKUP(F230,รายชื่อลูกบ้าน!$A:$B,2,FALSE)</f>
        <v>คุณณัฐธีร์ เลิศรัตน์วัฒนา</v>
      </c>
      <c r="H230" t="s">
        <v>384</v>
      </c>
      <c r="I230" s="20">
        <v>600</v>
      </c>
      <c r="J230" s="20"/>
      <c r="K230" s="2"/>
    </row>
    <row r="231" spans="1:11">
      <c r="A231" s="2">
        <v>242188</v>
      </c>
      <c r="B231" s="7" t="s">
        <v>3</v>
      </c>
      <c r="C231" s="3" t="str">
        <f>VLOOKUP(B231,'Accounts chart'!$A:$B,2,FALSE)</f>
        <v>ธนาคารกสิกรไทย SA-040-1-56500-0</v>
      </c>
      <c r="D231" t="s">
        <v>723</v>
      </c>
      <c r="E231" t="s">
        <v>519</v>
      </c>
      <c r="F231" t="s">
        <v>118</v>
      </c>
      <c r="G231" t="str">
        <f>VLOOKUP(F231,รายชื่อลูกบ้าน!$A:$B,2,FALSE)</f>
        <v>คุณด้ามพรรณ ตั้งทองจิตร-คุณศราวุธ ฑพธาภิรมย์</v>
      </c>
      <c r="H231" t="s">
        <v>400</v>
      </c>
      <c r="I231" s="20">
        <v>600</v>
      </c>
      <c r="J231" s="20"/>
      <c r="K231" s="2"/>
    </row>
    <row r="232" spans="1:11">
      <c r="A232" s="2">
        <v>242188</v>
      </c>
      <c r="B232" s="7" t="s">
        <v>3</v>
      </c>
      <c r="C232" s="3" t="str">
        <f>VLOOKUP(B232,'Accounts chart'!$A:$B,2,FALSE)</f>
        <v>ธนาคารกสิกรไทย SA-040-1-56500-0</v>
      </c>
      <c r="D232" t="s">
        <v>723</v>
      </c>
      <c r="E232" t="s">
        <v>520</v>
      </c>
      <c r="F232" t="s">
        <v>134</v>
      </c>
      <c r="G232" t="str">
        <f>VLOOKUP(F232,รายชื่อลูกบ้าน!$A:$B,2,FALSE)</f>
        <v>คุณอวยชัย ลีขสวัสดิ์</v>
      </c>
      <c r="H232" t="s">
        <v>384</v>
      </c>
      <c r="I232" s="20">
        <v>600</v>
      </c>
      <c r="J232" s="20"/>
      <c r="K232" s="2"/>
    </row>
    <row r="233" spans="1:11">
      <c r="A233" s="2">
        <v>242188</v>
      </c>
      <c r="B233" s="7" t="s">
        <v>3</v>
      </c>
      <c r="C233" s="3" t="str">
        <f>VLOOKUP(B233,'Accounts chart'!$A:$B,2,FALSE)</f>
        <v>ธนาคารกสิกรไทย SA-040-1-56500-0</v>
      </c>
      <c r="D233" t="s">
        <v>723</v>
      </c>
      <c r="E233" t="s">
        <v>521</v>
      </c>
      <c r="F233" t="s">
        <v>101</v>
      </c>
      <c r="G233" t="str">
        <f>VLOOKUP(F233,รายชื่อลูกบ้าน!$A:$B,2,FALSE)</f>
        <v>คุณเฉลิมเกียรติ และนางนันริญา ราชนาจันทร์</v>
      </c>
      <c r="H233" t="s">
        <v>384</v>
      </c>
      <c r="I233" s="20">
        <v>600</v>
      </c>
      <c r="J233" s="20"/>
      <c r="K233" s="2"/>
    </row>
    <row r="234" spans="1:11">
      <c r="A234" s="2">
        <v>242188</v>
      </c>
      <c r="B234" s="7" t="s">
        <v>3</v>
      </c>
      <c r="C234" s="3" t="str">
        <f>VLOOKUP(B234,'Accounts chart'!$A:$B,2,FALSE)</f>
        <v>ธนาคารกสิกรไทย SA-040-1-56500-0</v>
      </c>
      <c r="D234" t="s">
        <v>723</v>
      </c>
      <c r="E234" t="s">
        <v>522</v>
      </c>
      <c r="F234" t="s">
        <v>225</v>
      </c>
      <c r="G234" t="str">
        <f>VLOOKUP(F234,รายชื่อลูกบ้าน!$A:$B,2,FALSE)</f>
        <v>คุณถวิล เคสา</v>
      </c>
      <c r="H234" t="s">
        <v>385</v>
      </c>
      <c r="I234" s="20">
        <v>600</v>
      </c>
      <c r="J234" s="20"/>
      <c r="K234" s="2"/>
    </row>
    <row r="235" spans="1:11">
      <c r="A235" s="2">
        <v>242188</v>
      </c>
      <c r="B235" s="7" t="s">
        <v>34</v>
      </c>
      <c r="C235" s="3" t="str">
        <f>VLOOKUP(B235,'Accounts chart'!$A:$B,2,FALSE)</f>
        <v>รายรับค่าส่วนกลาง</v>
      </c>
      <c r="D235" t="s">
        <v>723</v>
      </c>
      <c r="E235" t="s">
        <v>517</v>
      </c>
      <c r="F235" t="s">
        <v>323</v>
      </c>
      <c r="G235" t="str">
        <f>VLOOKUP(F235,รายชื่อลูกบ้าน!$A:$B,2,FALSE)</f>
        <v>คุณเกียงไกร ไชยเดช</v>
      </c>
      <c r="H235" t="s">
        <v>384</v>
      </c>
      <c r="J235" s="20">
        <v>600</v>
      </c>
    </row>
    <row r="236" spans="1:11">
      <c r="A236" s="2">
        <v>242188</v>
      </c>
      <c r="B236" s="7" t="s">
        <v>34</v>
      </c>
      <c r="C236" s="3" t="str">
        <f>VLOOKUP(B236,'Accounts chart'!$A:$B,2,FALSE)</f>
        <v>รายรับค่าส่วนกลาง</v>
      </c>
      <c r="D236" t="s">
        <v>723</v>
      </c>
      <c r="E236" t="s">
        <v>518</v>
      </c>
      <c r="F236" t="s">
        <v>201</v>
      </c>
      <c r="G236" t="str">
        <f>VLOOKUP(F236,รายชื่อลูกบ้าน!$A:$B,2,FALSE)</f>
        <v>คุณณัฐธีร์ เลิศรัตน์วัฒนา</v>
      </c>
      <c r="H236" t="s">
        <v>384</v>
      </c>
      <c r="J236" s="20">
        <v>600</v>
      </c>
    </row>
    <row r="237" spans="1:11">
      <c r="A237" s="2">
        <v>242188</v>
      </c>
      <c r="B237" s="7" t="s">
        <v>4</v>
      </c>
      <c r="C237" s="3" t="str">
        <f>VLOOKUP(B237,'Accounts chart'!$A:$B,2,FALSE)</f>
        <v>ลูกหนี้ค่าส่วนกลาง</v>
      </c>
      <c r="D237" t="s">
        <v>723</v>
      </c>
      <c r="E237" t="s">
        <v>519</v>
      </c>
      <c r="F237" t="s">
        <v>118</v>
      </c>
      <c r="G237" t="str">
        <f>VLOOKUP(F237,รายชื่อลูกบ้าน!$A:$B,2,FALSE)</f>
        <v>คุณด้ามพรรณ ตั้งทองจิตร-คุณศราวุธ ฑพธาภิรมย์</v>
      </c>
      <c r="H237" t="s">
        <v>400</v>
      </c>
      <c r="J237" s="20">
        <v>600</v>
      </c>
    </row>
    <row r="238" spans="1:11">
      <c r="A238" s="2">
        <v>242188</v>
      </c>
      <c r="B238" s="7" t="s">
        <v>34</v>
      </c>
      <c r="C238" s="3" t="str">
        <f>VLOOKUP(B238,'Accounts chart'!$A:$B,2,FALSE)</f>
        <v>รายรับค่าส่วนกลาง</v>
      </c>
      <c r="D238" t="s">
        <v>723</v>
      </c>
      <c r="E238" t="s">
        <v>520</v>
      </c>
      <c r="F238" t="s">
        <v>134</v>
      </c>
      <c r="G238" t="str">
        <f>VLOOKUP(F238,รายชื่อลูกบ้าน!$A:$B,2,FALSE)</f>
        <v>คุณอวยชัย ลีขสวัสดิ์</v>
      </c>
      <c r="H238" t="s">
        <v>384</v>
      </c>
      <c r="J238" s="20">
        <v>600</v>
      </c>
    </row>
    <row r="239" spans="1:11">
      <c r="A239" s="2">
        <v>242188</v>
      </c>
      <c r="B239" s="7" t="s">
        <v>34</v>
      </c>
      <c r="C239" s="3" t="str">
        <f>VLOOKUP(B239,'Accounts chart'!$A:$B,2,FALSE)</f>
        <v>รายรับค่าส่วนกลาง</v>
      </c>
      <c r="D239" t="s">
        <v>723</v>
      </c>
      <c r="E239" t="s">
        <v>521</v>
      </c>
      <c r="F239" t="s">
        <v>101</v>
      </c>
      <c r="G239" t="str">
        <f>VLOOKUP(F239,รายชื่อลูกบ้าน!$A:$B,2,FALSE)</f>
        <v>คุณเฉลิมเกียรติ และนางนันริญา ราชนาจันทร์</v>
      </c>
      <c r="H239" t="s">
        <v>384</v>
      </c>
      <c r="J239" s="20">
        <v>600</v>
      </c>
    </row>
    <row r="240" spans="1:11">
      <c r="A240" s="2">
        <v>242188</v>
      </c>
      <c r="B240" s="7" t="s">
        <v>34</v>
      </c>
      <c r="C240" s="3" t="str">
        <f>VLOOKUP(B240,'Accounts chart'!$A:$B,2,FALSE)</f>
        <v>รายรับค่าส่วนกลาง</v>
      </c>
      <c r="D240" t="s">
        <v>723</v>
      </c>
      <c r="E240" t="s">
        <v>522</v>
      </c>
      <c r="F240" t="s">
        <v>225</v>
      </c>
      <c r="G240" t="str">
        <f>VLOOKUP(F240,รายชื่อลูกบ้าน!$A:$B,2,FALSE)</f>
        <v>คุณถวิล เคสา</v>
      </c>
      <c r="H240" t="s">
        <v>385</v>
      </c>
      <c r="J240" s="20">
        <v>600</v>
      </c>
    </row>
    <row r="242" spans="1:10">
      <c r="A242" s="2">
        <v>242188</v>
      </c>
      <c r="B242" s="7" t="s">
        <v>34</v>
      </c>
      <c r="C242" s="3" t="str">
        <f>VLOOKUP(B242,'Accounts chart'!$A:$B,2,FALSE)</f>
        <v>รายรับค่าส่วนกลาง</v>
      </c>
      <c r="D242" t="s">
        <v>803</v>
      </c>
      <c r="F242" t="s">
        <v>374</v>
      </c>
      <c r="G242" t="str">
        <f>VLOOKUP(F242,รายชื่อลูกบ้าน!$A:$B,2,FALSE)</f>
        <v>คุณเกียรติภูมิ วิรติภูมิ</v>
      </c>
      <c r="H242" t="s">
        <v>804</v>
      </c>
      <c r="I242" s="23">
        <v>7200</v>
      </c>
    </row>
    <row r="243" spans="1:10">
      <c r="A243" s="2">
        <v>242188</v>
      </c>
      <c r="B243" s="7" t="s">
        <v>4</v>
      </c>
      <c r="C243" s="3" t="str">
        <f>VLOOKUP(B243,'Accounts chart'!$A:$B,2,FALSE)</f>
        <v>ลูกหนี้ค่าส่วนกลาง</v>
      </c>
      <c r="D243" t="s">
        <v>803</v>
      </c>
      <c r="F243" t="s">
        <v>374</v>
      </c>
      <c r="G243" t="str">
        <f>VLOOKUP(F243,รายชื่อลูกบ้าน!$A:$B,2,FALSE)</f>
        <v>คุณเกียรติภูมิ วิรติภูมิ</v>
      </c>
      <c r="H243" t="s">
        <v>804</v>
      </c>
      <c r="J243" s="23">
        <v>7200</v>
      </c>
    </row>
    <row r="245" spans="1:10">
      <c r="A245" s="2">
        <v>242188</v>
      </c>
      <c r="B245" s="7" t="s">
        <v>46</v>
      </c>
      <c r="C245" s="3" t="str">
        <f>VLOOKUP(B245,'Accounts chart'!$A:$B,2,FALSE)</f>
        <v>ค่าดูแลส่วนกลาง</v>
      </c>
      <c r="D245" t="s">
        <v>959</v>
      </c>
      <c r="H245" t="s">
        <v>960</v>
      </c>
      <c r="I245" s="23">
        <v>15000</v>
      </c>
    </row>
    <row r="246" spans="1:10">
      <c r="A246" s="2">
        <v>242188</v>
      </c>
      <c r="B246" s="7" t="s">
        <v>48</v>
      </c>
      <c r="C246" s="3" t="str">
        <f>VLOOKUP(B246,'Accounts chart'!$A:$B,2,FALSE)</f>
        <v>ค่ารักษาความปลอดภัย</v>
      </c>
      <c r="D246" t="s">
        <v>959</v>
      </c>
      <c r="H246" t="s">
        <v>960</v>
      </c>
      <c r="I246" s="23">
        <v>38233.18</v>
      </c>
    </row>
    <row r="247" spans="1:10">
      <c r="A247" s="2">
        <v>242188</v>
      </c>
      <c r="B247" s="7" t="s">
        <v>50</v>
      </c>
      <c r="C247" s="3" t="str">
        <f>VLOOKUP(B247,'Accounts chart'!$A:$B,2,FALSE)</f>
        <v>ค่าเก็บขยะ</v>
      </c>
      <c r="D247" t="s">
        <v>959</v>
      </c>
      <c r="H247" t="s">
        <v>960</v>
      </c>
      <c r="I247" s="23">
        <v>3000</v>
      </c>
    </row>
    <row r="248" spans="1:10">
      <c r="A248" s="2">
        <v>242188</v>
      </c>
      <c r="B248" s="7" t="s">
        <v>52</v>
      </c>
      <c r="C248" s="3" t="str">
        <f>VLOOKUP(B248,'Accounts chart'!$A:$B,2,FALSE)</f>
        <v>ค่าบริการดูแลสระว่ายน้ำ</v>
      </c>
      <c r="D248" t="s">
        <v>959</v>
      </c>
      <c r="H248" t="s">
        <v>960</v>
      </c>
      <c r="I248" s="23">
        <v>7500</v>
      </c>
    </row>
    <row r="249" spans="1:10">
      <c r="A249" s="2">
        <v>242188</v>
      </c>
      <c r="B249" s="7" t="s">
        <v>54</v>
      </c>
      <c r="C249" s="3" t="str">
        <f>VLOOKUP(B249,'Accounts chart'!$A:$B,2,FALSE)</f>
        <v>ค่าไฟฟ้า</v>
      </c>
      <c r="D249" t="s">
        <v>959</v>
      </c>
      <c r="H249" t="s">
        <v>960</v>
      </c>
      <c r="I249" s="23">
        <v>4863.82</v>
      </c>
    </row>
    <row r="250" spans="1:10">
      <c r="A250" s="2">
        <v>242188</v>
      </c>
      <c r="B250" s="7" t="s">
        <v>22</v>
      </c>
      <c r="C250" s="3" t="str">
        <f>VLOOKUP(B250,'Accounts chart'!$A:$B,2,FALSE)</f>
        <v>ค่าดูแลส่วนกลางค้างจ่าย</v>
      </c>
      <c r="D250" t="s">
        <v>959</v>
      </c>
      <c r="H250" t="s">
        <v>960</v>
      </c>
      <c r="J250" s="23">
        <v>15000</v>
      </c>
    </row>
    <row r="251" spans="1:10">
      <c r="A251" s="2">
        <v>242188</v>
      </c>
      <c r="B251" s="7" t="s">
        <v>18</v>
      </c>
      <c r="C251" s="3" t="str">
        <f>VLOOKUP(B251,'Accounts chart'!$A:$B,2,FALSE)</f>
        <v>ค่ารักษาความปลอดภัยค้างจ่าย</v>
      </c>
      <c r="D251" t="s">
        <v>959</v>
      </c>
      <c r="H251" t="s">
        <v>960</v>
      </c>
      <c r="J251" s="23">
        <v>38233.18</v>
      </c>
    </row>
    <row r="252" spans="1:10">
      <c r="A252" s="2">
        <v>242188</v>
      </c>
      <c r="B252" s="7" t="s">
        <v>14</v>
      </c>
      <c r="C252" s="3" t="str">
        <f>VLOOKUP(B252,'Accounts chart'!$A:$B,2,FALSE)</f>
        <v>ค่าเก็บขยะค้างจ่าย</v>
      </c>
      <c r="D252" t="s">
        <v>959</v>
      </c>
      <c r="H252" t="s">
        <v>960</v>
      </c>
      <c r="J252" s="23">
        <v>3000</v>
      </c>
    </row>
    <row r="253" spans="1:10">
      <c r="A253" s="2">
        <v>242188</v>
      </c>
      <c r="B253" s="7" t="s">
        <v>16</v>
      </c>
      <c r="C253" s="3" t="str">
        <f>VLOOKUP(B253,'Accounts chart'!$A:$B,2,FALSE)</f>
        <v>ค่าบริการดูแลสระว่ายน้ำค้างจ่าย</v>
      </c>
      <c r="D253" t="s">
        <v>959</v>
      </c>
      <c r="H253" t="s">
        <v>960</v>
      </c>
      <c r="J253" s="23">
        <v>7500</v>
      </c>
    </row>
    <row r="254" spans="1:10">
      <c r="A254" s="2">
        <v>242188</v>
      </c>
      <c r="B254" s="7" t="s">
        <v>20</v>
      </c>
      <c r="C254" s="3" t="str">
        <f>VLOOKUP(B254,'Accounts chart'!$A:$B,2,FALSE)</f>
        <v>ค่าไฟฟ้าค้างจ่าย</v>
      </c>
      <c r="D254" t="s">
        <v>959</v>
      </c>
      <c r="H254" t="s">
        <v>960</v>
      </c>
      <c r="J254" s="23">
        <v>4863.82</v>
      </c>
    </row>
    <row r="257" spans="1:10">
      <c r="A257" s="2">
        <v>242189</v>
      </c>
      <c r="B257" s="7" t="s">
        <v>3</v>
      </c>
      <c r="C257" s="3" t="str">
        <f>VLOOKUP(B257,'Accounts chart'!$A:$B,2,FALSE)</f>
        <v>ธนาคารกสิกรไทย SA-040-1-56500-0</v>
      </c>
      <c r="D257" t="s">
        <v>724</v>
      </c>
      <c r="E257" t="s">
        <v>523</v>
      </c>
      <c r="F257" t="s">
        <v>207</v>
      </c>
      <c r="G257" t="str">
        <f>VLOOKUP(F257,รายชื่อลูกบ้าน!$A:$B,2,FALSE)</f>
        <v>คุณกิตติภูมิ กาญจนจิรวงศ์</v>
      </c>
      <c r="H257" t="s">
        <v>384</v>
      </c>
      <c r="I257" s="23">
        <v>600</v>
      </c>
    </row>
    <row r="258" spans="1:10">
      <c r="A258" s="2">
        <v>242189</v>
      </c>
      <c r="B258" s="7" t="s">
        <v>3</v>
      </c>
      <c r="C258" s="3" t="str">
        <f>VLOOKUP(B258,'Accounts chart'!$A:$B,2,FALSE)</f>
        <v>ธนาคารกสิกรไทย SA-040-1-56500-0</v>
      </c>
      <c r="D258" t="s">
        <v>724</v>
      </c>
      <c r="E258" t="s">
        <v>524</v>
      </c>
      <c r="F258" t="s">
        <v>233</v>
      </c>
      <c r="G258" t="str">
        <f>VLOOKUP(F258,รายชื่อลูกบ้าน!$A:$B,2,FALSE)</f>
        <v>คุณวิทยา วัดเข้าหลาม</v>
      </c>
      <c r="H258" t="s">
        <v>385</v>
      </c>
      <c r="I258" s="23">
        <v>600.80999999999995</v>
      </c>
    </row>
    <row r="259" spans="1:10">
      <c r="A259" s="2">
        <v>242189</v>
      </c>
      <c r="B259" s="7" t="s">
        <v>3</v>
      </c>
      <c r="C259" s="3" t="str">
        <f>VLOOKUP(B259,'Accounts chart'!$A:$B,2,FALSE)</f>
        <v>ธนาคารกสิกรไทย SA-040-1-56500-0</v>
      </c>
      <c r="D259" t="s">
        <v>724</v>
      </c>
      <c r="E259" t="s">
        <v>525</v>
      </c>
      <c r="F259" t="s">
        <v>69</v>
      </c>
      <c r="G259" t="str">
        <f>VLOOKUP(F259,รายชื่อลูกบ้าน!$A:$B,2,FALSE)</f>
        <v>คุณโกวิท-คุณศันสนีย์ รัตนมณี</v>
      </c>
      <c r="H259" t="s">
        <v>412</v>
      </c>
      <c r="I259" s="23">
        <v>1200</v>
      </c>
    </row>
    <row r="260" spans="1:10">
      <c r="A260" s="2">
        <v>242189</v>
      </c>
      <c r="B260" s="7" t="s">
        <v>3</v>
      </c>
      <c r="C260" s="3" t="str">
        <f>VLOOKUP(B260,'Accounts chart'!$A:$B,2,FALSE)</f>
        <v>ธนาคารกสิกรไทย SA-040-1-56500-0</v>
      </c>
      <c r="D260" t="s">
        <v>724</v>
      </c>
      <c r="E260" t="s">
        <v>526</v>
      </c>
      <c r="F260" t="s">
        <v>374</v>
      </c>
      <c r="G260" t="str">
        <f>VLOOKUP(F260,รายชื่อลูกบ้าน!$A:$B,2,FALSE)</f>
        <v>คุณเกียรติภูมิ วิรติภูมิ</v>
      </c>
      <c r="H260" t="s">
        <v>385</v>
      </c>
      <c r="I260" s="23">
        <v>600</v>
      </c>
    </row>
    <row r="261" spans="1:10">
      <c r="A261" s="2">
        <v>242189</v>
      </c>
      <c r="B261" s="7" t="s">
        <v>3</v>
      </c>
      <c r="C261" s="3" t="str">
        <f>VLOOKUP(B261,'Accounts chart'!$A:$B,2,FALSE)</f>
        <v>ธนาคารกสิกรไทย SA-040-1-56500-0</v>
      </c>
      <c r="D261" t="s">
        <v>724</v>
      </c>
      <c r="E261" t="s">
        <v>527</v>
      </c>
      <c r="F261" t="s">
        <v>364</v>
      </c>
      <c r="G261" t="str">
        <f>VLOOKUP(F261,รายชื่อลูกบ้าน!$A:$B,2,FALSE)</f>
        <v>คุณกิตติ แสวงภาค</v>
      </c>
      <c r="H261" t="s">
        <v>385</v>
      </c>
      <c r="I261" s="23">
        <v>600</v>
      </c>
    </row>
    <row r="262" spans="1:10">
      <c r="A262" s="2">
        <v>242189</v>
      </c>
      <c r="B262" s="7" t="s">
        <v>3</v>
      </c>
      <c r="C262" s="3" t="str">
        <f>VLOOKUP(B262,'Accounts chart'!$A:$B,2,FALSE)</f>
        <v>ธนาคารกสิกรไทย SA-040-1-56500-0</v>
      </c>
      <c r="D262" t="s">
        <v>724</v>
      </c>
      <c r="E262" t="s">
        <v>528</v>
      </c>
      <c r="F262" t="s">
        <v>350</v>
      </c>
      <c r="G262" t="str">
        <f>VLOOKUP(F262,รายชื่อลูกบ้าน!$A:$B,2,FALSE)</f>
        <v>คุณวรศิลป์ แก้วลังกา-คุณอรอนงค์ ตั้งเจริญวัฒนากูร</v>
      </c>
      <c r="H262" t="s">
        <v>383</v>
      </c>
      <c r="I262" s="23">
        <v>7000</v>
      </c>
    </row>
    <row r="263" spans="1:10">
      <c r="A263" s="2">
        <v>242189</v>
      </c>
      <c r="B263" s="7" t="s">
        <v>34</v>
      </c>
      <c r="C263" s="3" t="str">
        <f>VLOOKUP(B263,'Accounts chart'!$A:$B,2,FALSE)</f>
        <v>รายรับค่าส่วนกลาง</v>
      </c>
      <c r="D263" t="s">
        <v>724</v>
      </c>
      <c r="E263" t="s">
        <v>523</v>
      </c>
      <c r="F263" t="s">
        <v>207</v>
      </c>
      <c r="G263" t="str">
        <f>VLOOKUP(F263,รายชื่อลูกบ้าน!$A:$B,2,FALSE)</f>
        <v>คุณกิตติภูมิ กาญจนจิรวงศ์</v>
      </c>
      <c r="H263" t="s">
        <v>384</v>
      </c>
      <c r="J263" s="23">
        <v>600</v>
      </c>
    </row>
    <row r="264" spans="1:10">
      <c r="A264" s="2">
        <v>242189</v>
      </c>
      <c r="B264" s="7" t="s">
        <v>34</v>
      </c>
      <c r="C264" s="3" t="str">
        <f>VLOOKUP(B264,'Accounts chart'!$A:$B,2,FALSE)</f>
        <v>รายรับค่าส่วนกลาง</v>
      </c>
      <c r="D264" t="s">
        <v>724</v>
      </c>
      <c r="E264" t="s">
        <v>524</v>
      </c>
      <c r="F264" t="s">
        <v>233</v>
      </c>
      <c r="G264" t="str">
        <f>VLOOKUP(F264,รายชื่อลูกบ้าน!$A:$B,2,FALSE)</f>
        <v>คุณวิทยา วัดเข้าหลาม</v>
      </c>
      <c r="H264" t="s">
        <v>385</v>
      </c>
      <c r="J264" s="23">
        <v>600.80999999999995</v>
      </c>
    </row>
    <row r="265" spans="1:10">
      <c r="A265" s="2">
        <v>242189</v>
      </c>
      <c r="B265" s="7" t="s">
        <v>34</v>
      </c>
      <c r="C265" s="3" t="str">
        <f>VLOOKUP(B265,'Accounts chart'!$A:$B,2,FALSE)</f>
        <v>รายรับค่าส่วนกลาง</v>
      </c>
      <c r="D265" t="s">
        <v>724</v>
      </c>
      <c r="E265" t="s">
        <v>525</v>
      </c>
      <c r="F265" t="s">
        <v>69</v>
      </c>
      <c r="G265" t="str">
        <f>VLOOKUP(F265,รายชื่อลูกบ้าน!$A:$B,2,FALSE)</f>
        <v>คุณโกวิท-คุณศันสนีย์ รัตนมณี</v>
      </c>
      <c r="H265" t="s">
        <v>412</v>
      </c>
      <c r="J265" s="23">
        <v>1200</v>
      </c>
    </row>
    <row r="266" spans="1:10">
      <c r="A266" s="2">
        <v>242189</v>
      </c>
      <c r="B266" s="7" t="s">
        <v>34</v>
      </c>
      <c r="C266" s="3" t="str">
        <f>VLOOKUP(B266,'Accounts chart'!$A:$B,2,FALSE)</f>
        <v>รายรับค่าส่วนกลาง</v>
      </c>
      <c r="D266" t="s">
        <v>724</v>
      </c>
      <c r="E266" t="s">
        <v>526</v>
      </c>
      <c r="F266" t="s">
        <v>374</v>
      </c>
      <c r="G266" t="str">
        <f>VLOOKUP(F266,รายชื่อลูกบ้าน!$A:$B,2,FALSE)</f>
        <v>คุณเกียรติภูมิ วิรติภูมิ</v>
      </c>
      <c r="H266" t="s">
        <v>385</v>
      </c>
      <c r="J266" s="23">
        <v>600</v>
      </c>
    </row>
    <row r="267" spans="1:10">
      <c r="A267" s="2">
        <v>242189</v>
      </c>
      <c r="B267" s="7" t="s">
        <v>34</v>
      </c>
      <c r="C267" s="3" t="str">
        <f>VLOOKUP(B267,'Accounts chart'!$A:$B,2,FALSE)</f>
        <v>รายรับค่าส่วนกลาง</v>
      </c>
      <c r="D267" t="s">
        <v>724</v>
      </c>
      <c r="E267" t="s">
        <v>527</v>
      </c>
      <c r="F267" t="s">
        <v>364</v>
      </c>
      <c r="G267" t="str">
        <f>VLOOKUP(F267,รายชื่อลูกบ้าน!$A:$B,2,FALSE)</f>
        <v>คุณกิตติ แสวงภาค</v>
      </c>
      <c r="H267" t="s">
        <v>385</v>
      </c>
      <c r="J267" s="23">
        <v>600</v>
      </c>
    </row>
    <row r="268" spans="1:10">
      <c r="A268" s="2">
        <v>242189</v>
      </c>
      <c r="B268" s="7" t="s">
        <v>34</v>
      </c>
      <c r="C268" s="3" t="str">
        <f>VLOOKUP(B268,'Accounts chart'!$A:$B,2,FALSE)</f>
        <v>รายรับค่าส่วนกลาง</v>
      </c>
      <c r="D268" t="s">
        <v>724</v>
      </c>
      <c r="E268" t="s">
        <v>528</v>
      </c>
      <c r="F268" t="s">
        <v>350</v>
      </c>
      <c r="G268" t="str">
        <f>VLOOKUP(F268,รายชื่อลูกบ้าน!$A:$B,2,FALSE)</f>
        <v>คุณวรศิลป์ แก้วลังกา-คุณอรอนงค์ ตั้งเจริญวัฒนากูร</v>
      </c>
      <c r="H268" t="s">
        <v>383</v>
      </c>
      <c r="J268" s="23">
        <v>7000</v>
      </c>
    </row>
    <row r="269" spans="1:10">
      <c r="A269" s="2"/>
    </row>
    <row r="270" spans="1:10">
      <c r="A270" s="2"/>
    </row>
    <row r="271" spans="1:10">
      <c r="A271" s="2">
        <v>242190</v>
      </c>
      <c r="B271" s="7" t="s">
        <v>3</v>
      </c>
      <c r="C271" s="3" t="str">
        <f>VLOOKUP(B271,'Accounts chart'!$A:$B,2,FALSE)</f>
        <v>ธนาคารกสิกรไทย SA-040-1-56500-0</v>
      </c>
      <c r="D271" t="s">
        <v>725</v>
      </c>
      <c r="E271" t="s">
        <v>529</v>
      </c>
      <c r="F271" t="s">
        <v>337</v>
      </c>
      <c r="G271" t="str">
        <f>VLOOKUP(F271,รายชื่อลูกบ้าน!$A:$B,2,FALSE)</f>
        <v>คุณพงศกร-คุณปิยะพร ปาเลิง</v>
      </c>
      <c r="H271" t="s">
        <v>413</v>
      </c>
      <c r="I271" s="23">
        <v>600</v>
      </c>
    </row>
    <row r="272" spans="1:10">
      <c r="A272" s="2">
        <v>242190</v>
      </c>
      <c r="B272" s="7" t="s">
        <v>3</v>
      </c>
      <c r="C272" s="3" t="str">
        <f>VLOOKUP(B272,'Accounts chart'!$A:$B,2,FALSE)</f>
        <v>ธนาคารกสิกรไทย SA-040-1-56500-0</v>
      </c>
      <c r="D272" t="s">
        <v>725</v>
      </c>
      <c r="E272" t="s">
        <v>530</v>
      </c>
      <c r="F272" t="s">
        <v>337</v>
      </c>
      <c r="G272" t="str">
        <f>VLOOKUP(F272,รายชื่อลูกบ้าน!$A:$B,2,FALSE)</f>
        <v>คุณพงศกร-คุณปิยะพร ปาเลิง</v>
      </c>
      <c r="H272" t="s">
        <v>414</v>
      </c>
      <c r="I272" s="23">
        <v>7200</v>
      </c>
    </row>
    <row r="273" spans="1:10">
      <c r="A273" s="2">
        <v>242190</v>
      </c>
      <c r="B273" s="7" t="s">
        <v>3</v>
      </c>
      <c r="C273" s="3" t="str">
        <f>VLOOKUP(B273,'Accounts chart'!$A:$B,2,FALSE)</f>
        <v>ธนาคารกสิกรไทย SA-040-1-56500-0</v>
      </c>
      <c r="D273" t="s">
        <v>725</v>
      </c>
      <c r="E273" t="s">
        <v>531</v>
      </c>
      <c r="F273" t="s">
        <v>337</v>
      </c>
      <c r="G273" t="str">
        <f>VLOOKUP(F273,รายชื่อลูกบ้าน!$A:$B,2,FALSE)</f>
        <v>คุณพงศกร-คุณปิยะพร ปาเลิง</v>
      </c>
      <c r="H273" t="s">
        <v>415</v>
      </c>
      <c r="I273" s="23">
        <v>1200</v>
      </c>
    </row>
    <row r="274" spans="1:10">
      <c r="A274" s="2">
        <v>242190</v>
      </c>
      <c r="B274" s="7" t="s">
        <v>3</v>
      </c>
      <c r="C274" s="3" t="str">
        <f>VLOOKUP(B274,'Accounts chart'!$A:$B,2,FALSE)</f>
        <v>ธนาคารกสิกรไทย SA-040-1-56500-0</v>
      </c>
      <c r="D274" t="s">
        <v>725</v>
      </c>
      <c r="E274" t="s">
        <v>532</v>
      </c>
      <c r="F274" t="s">
        <v>213</v>
      </c>
      <c r="G274" t="str">
        <f>VLOOKUP(F274,รายชื่อลูกบ้าน!$A:$B,2,FALSE)</f>
        <v>คุณรัฐพล สุวรรณ</v>
      </c>
      <c r="H274" t="s">
        <v>384</v>
      </c>
      <c r="I274" s="23">
        <v>600</v>
      </c>
    </row>
    <row r="275" spans="1:10">
      <c r="A275" s="2">
        <v>242190</v>
      </c>
      <c r="B275" s="7" t="s">
        <v>3</v>
      </c>
      <c r="C275" s="3" t="str">
        <f>VLOOKUP(B275,'Accounts chart'!$A:$B,2,FALSE)</f>
        <v>ธนาคารกสิกรไทย SA-040-1-56500-0</v>
      </c>
      <c r="D275" t="s">
        <v>725</v>
      </c>
      <c r="E275" t="s">
        <v>533</v>
      </c>
      <c r="F275" t="s">
        <v>262</v>
      </c>
      <c r="G275" t="str">
        <f>VLOOKUP(F275,รายชื่อลูกบ้าน!$A:$B,2,FALSE)</f>
        <v>คุณวินัย-คุณนุชนาฎ ลิ้มบุพศิริพร</v>
      </c>
      <c r="H275" t="s">
        <v>383</v>
      </c>
      <c r="I275" s="23">
        <v>7200</v>
      </c>
    </row>
    <row r="276" spans="1:10">
      <c r="A276" s="2">
        <v>242190</v>
      </c>
      <c r="B276" s="7" t="s">
        <v>3</v>
      </c>
      <c r="C276" s="3" t="str">
        <f>VLOOKUP(B276,'Accounts chart'!$A:$B,2,FALSE)</f>
        <v>ธนาคารกสิกรไทย SA-040-1-56500-0</v>
      </c>
      <c r="D276" t="s">
        <v>725</v>
      </c>
      <c r="E276" t="s">
        <v>534</v>
      </c>
      <c r="F276" t="s">
        <v>271</v>
      </c>
      <c r="G276" t="str">
        <f>VLOOKUP(F276,รายชื่อลูกบ้าน!$A:$B,2,FALSE)</f>
        <v>คุณรัสรินทร์ ปัญญาส่งสวัสดิ์</v>
      </c>
      <c r="H276" t="s">
        <v>415</v>
      </c>
      <c r="I276" s="23">
        <v>1200</v>
      </c>
    </row>
    <row r="277" spans="1:10">
      <c r="A277" s="2">
        <v>242190</v>
      </c>
      <c r="B277" s="7" t="s">
        <v>3</v>
      </c>
      <c r="C277" s="3" t="str">
        <f>VLOOKUP(B277,'Accounts chart'!$A:$B,2,FALSE)</f>
        <v>ธนาคารกสิกรไทย SA-040-1-56500-0</v>
      </c>
      <c r="D277" t="s">
        <v>725</v>
      </c>
      <c r="E277" t="s">
        <v>535</v>
      </c>
      <c r="F277" t="s">
        <v>132</v>
      </c>
      <c r="G277" t="str">
        <f>VLOOKUP(F277,รายชื่อลูกบ้าน!$A:$B,2,FALSE)</f>
        <v>คุณสมหมาย เงินสมบัติ</v>
      </c>
      <c r="H277" t="s">
        <v>416</v>
      </c>
      <c r="I277" s="23">
        <v>1200</v>
      </c>
    </row>
    <row r="278" spans="1:10">
      <c r="A278" s="2">
        <v>242190</v>
      </c>
      <c r="B278" s="7" t="s">
        <v>3</v>
      </c>
      <c r="C278" s="3" t="str">
        <f>VLOOKUP(B278,'Accounts chart'!$A:$B,2,FALSE)</f>
        <v>ธนาคารกสิกรไทย SA-040-1-56500-0</v>
      </c>
      <c r="D278" t="s">
        <v>725</v>
      </c>
      <c r="E278" t="s">
        <v>536</v>
      </c>
      <c r="F278" t="s">
        <v>185</v>
      </c>
      <c r="G278" t="str">
        <f>VLOOKUP(F278,รายชื่อลูกบ้าน!$A:$B,2,FALSE)</f>
        <v>คุณชาญชัย ตนะศุภผล</v>
      </c>
      <c r="H278" t="s">
        <v>385</v>
      </c>
      <c r="I278" s="23">
        <v>600</v>
      </c>
    </row>
    <row r="279" spans="1:10">
      <c r="A279" s="2">
        <v>242190</v>
      </c>
      <c r="B279" s="7" t="s">
        <v>3</v>
      </c>
      <c r="C279" s="3" t="str">
        <f>VLOOKUP(B279,'Accounts chart'!$A:$B,2,FALSE)</f>
        <v>ธนาคารกสิกรไทย SA-040-1-56500-0</v>
      </c>
      <c r="D279" t="s">
        <v>725</v>
      </c>
      <c r="E279" t="s">
        <v>537</v>
      </c>
      <c r="F279" t="s">
        <v>161</v>
      </c>
      <c r="G279" t="str">
        <f>VLOOKUP(F279,รายชื่อลูกบ้าน!$A:$B,2,FALSE)</f>
        <v>คุณพงษ์พัฒนา มาบุญ</v>
      </c>
      <c r="H279" t="s">
        <v>384</v>
      </c>
      <c r="I279" s="23">
        <v>600</v>
      </c>
    </row>
    <row r="280" spans="1:10">
      <c r="A280" s="2">
        <v>242190</v>
      </c>
      <c r="B280" s="7" t="s">
        <v>4</v>
      </c>
      <c r="C280" s="3" t="str">
        <f>VLOOKUP(B280,'Accounts chart'!$A:$B,2,FALSE)</f>
        <v>ลูกหนี้ค่าส่วนกลาง</v>
      </c>
      <c r="D280" t="s">
        <v>725</v>
      </c>
      <c r="E280" t="s">
        <v>529</v>
      </c>
      <c r="F280" t="s">
        <v>337</v>
      </c>
      <c r="G280" t="str">
        <f>VLOOKUP(F280,รายชื่อลูกบ้าน!$A:$B,2,FALSE)</f>
        <v>คุณพงศกร-คุณปิยะพร ปาเลิง</v>
      </c>
      <c r="H280" t="s">
        <v>413</v>
      </c>
      <c r="J280" s="23">
        <v>600</v>
      </c>
    </row>
    <row r="281" spans="1:10">
      <c r="A281" s="2">
        <v>242190</v>
      </c>
      <c r="B281" s="7" t="s">
        <v>4</v>
      </c>
      <c r="C281" s="3" t="str">
        <f>VLOOKUP(B281,'Accounts chart'!$A:$B,2,FALSE)</f>
        <v>ลูกหนี้ค่าส่วนกลาง</v>
      </c>
      <c r="D281" t="s">
        <v>725</v>
      </c>
      <c r="E281" t="s">
        <v>530</v>
      </c>
      <c r="F281" t="s">
        <v>337</v>
      </c>
      <c r="G281" t="str">
        <f>VLOOKUP(F281,รายชื่อลูกบ้าน!$A:$B,2,FALSE)</f>
        <v>คุณพงศกร-คุณปิยะพร ปาเลิง</v>
      </c>
      <c r="H281" t="s">
        <v>414</v>
      </c>
      <c r="J281" s="23">
        <v>7200</v>
      </c>
    </row>
    <row r="282" spans="1:10">
      <c r="A282" s="2">
        <v>242190</v>
      </c>
      <c r="B282" s="7" t="s">
        <v>34</v>
      </c>
      <c r="C282" s="3" t="str">
        <f>VLOOKUP(B282,'Accounts chart'!$A:$B,2,FALSE)</f>
        <v>รายรับค่าส่วนกลาง</v>
      </c>
      <c r="D282" t="s">
        <v>725</v>
      </c>
      <c r="E282" t="s">
        <v>531</v>
      </c>
      <c r="F282" t="s">
        <v>337</v>
      </c>
      <c r="G282" t="str">
        <f>VLOOKUP(F282,รายชื่อลูกบ้าน!$A:$B,2,FALSE)</f>
        <v>คุณพงศกร-คุณปิยะพร ปาเลิง</v>
      </c>
      <c r="H282" t="s">
        <v>415</v>
      </c>
      <c r="J282" s="23">
        <v>1200</v>
      </c>
    </row>
    <row r="283" spans="1:10">
      <c r="A283" s="2">
        <v>242190</v>
      </c>
      <c r="B283" s="7" t="s">
        <v>34</v>
      </c>
      <c r="C283" s="3" t="str">
        <f>VLOOKUP(B283,'Accounts chart'!$A:$B,2,FALSE)</f>
        <v>รายรับค่าส่วนกลาง</v>
      </c>
      <c r="D283" t="s">
        <v>725</v>
      </c>
      <c r="E283" t="s">
        <v>532</v>
      </c>
      <c r="F283" t="s">
        <v>213</v>
      </c>
      <c r="G283" t="str">
        <f>VLOOKUP(F283,รายชื่อลูกบ้าน!$A:$B,2,FALSE)</f>
        <v>คุณรัฐพล สุวรรณ</v>
      </c>
      <c r="H283" t="s">
        <v>384</v>
      </c>
      <c r="J283" s="23">
        <v>600</v>
      </c>
    </row>
    <row r="284" spans="1:10">
      <c r="A284" s="2">
        <v>242190</v>
      </c>
      <c r="B284" s="7" t="s">
        <v>34</v>
      </c>
      <c r="C284" s="3" t="str">
        <f>VLOOKUP(B284,'Accounts chart'!$A:$B,2,FALSE)</f>
        <v>รายรับค่าส่วนกลาง</v>
      </c>
      <c r="D284" t="s">
        <v>725</v>
      </c>
      <c r="E284" t="s">
        <v>533</v>
      </c>
      <c r="F284" t="s">
        <v>262</v>
      </c>
      <c r="G284" t="str">
        <f>VLOOKUP(F284,รายชื่อลูกบ้าน!$A:$B,2,FALSE)</f>
        <v>คุณวินัย-คุณนุชนาฎ ลิ้มบุพศิริพร</v>
      </c>
      <c r="H284" t="s">
        <v>383</v>
      </c>
      <c r="J284" s="23">
        <v>7200</v>
      </c>
    </row>
    <row r="285" spans="1:10">
      <c r="A285" s="2">
        <v>242190</v>
      </c>
      <c r="B285" s="7" t="s">
        <v>34</v>
      </c>
      <c r="C285" s="3" t="str">
        <f>VLOOKUP(B285,'Accounts chart'!$A:$B,2,FALSE)</f>
        <v>รายรับค่าส่วนกลาง</v>
      </c>
      <c r="D285" t="s">
        <v>725</v>
      </c>
      <c r="E285" t="s">
        <v>534</v>
      </c>
      <c r="F285" t="s">
        <v>271</v>
      </c>
      <c r="G285" t="str">
        <f>VLOOKUP(F285,รายชื่อลูกบ้าน!$A:$B,2,FALSE)</f>
        <v>คุณรัสรินทร์ ปัญญาส่งสวัสดิ์</v>
      </c>
      <c r="H285" t="s">
        <v>415</v>
      </c>
      <c r="J285" s="23">
        <v>1200</v>
      </c>
    </row>
    <row r="286" spans="1:10">
      <c r="A286" s="2">
        <v>242190</v>
      </c>
      <c r="B286" s="7" t="s">
        <v>4</v>
      </c>
      <c r="C286" s="3" t="str">
        <f>VLOOKUP(B286,'Accounts chart'!$A:$B,2,FALSE)</f>
        <v>ลูกหนี้ค่าส่วนกลาง</v>
      </c>
      <c r="D286" t="s">
        <v>725</v>
      </c>
      <c r="E286" t="s">
        <v>535</v>
      </c>
      <c r="F286" t="s">
        <v>132</v>
      </c>
      <c r="G286" t="str">
        <f>VLOOKUP(F286,รายชื่อลูกบ้าน!$A:$B,2,FALSE)</f>
        <v>คุณสมหมาย เงินสมบัติ</v>
      </c>
      <c r="H286" t="s">
        <v>425</v>
      </c>
      <c r="J286" s="23">
        <v>600</v>
      </c>
    </row>
    <row r="287" spans="1:10">
      <c r="A287" s="2">
        <v>242190</v>
      </c>
      <c r="B287" s="7" t="s">
        <v>34</v>
      </c>
      <c r="C287" s="3" t="str">
        <f>VLOOKUP(B287,'Accounts chart'!$A:$B,2,FALSE)</f>
        <v>รายรับค่าส่วนกลาง</v>
      </c>
      <c r="D287" t="s">
        <v>725</v>
      </c>
      <c r="E287" t="s">
        <v>536</v>
      </c>
      <c r="F287" t="s">
        <v>132</v>
      </c>
      <c r="G287" t="str">
        <f>VLOOKUP(F287,รายชื่อลูกบ้าน!$A:$B,2,FALSE)</f>
        <v>คุณสมหมาย เงินสมบัติ</v>
      </c>
      <c r="H287" t="s">
        <v>426</v>
      </c>
      <c r="J287" s="23">
        <v>600</v>
      </c>
    </row>
    <row r="288" spans="1:10">
      <c r="A288" s="2">
        <v>242190</v>
      </c>
      <c r="B288" s="7" t="s">
        <v>34</v>
      </c>
      <c r="C288" s="3" t="str">
        <f>VLOOKUP(B288,'Accounts chart'!$A:$B,2,FALSE)</f>
        <v>รายรับค่าส่วนกลาง</v>
      </c>
      <c r="D288" t="s">
        <v>725</v>
      </c>
      <c r="E288" t="s">
        <v>537</v>
      </c>
      <c r="F288" t="s">
        <v>185</v>
      </c>
      <c r="G288" t="str">
        <f>VLOOKUP(F288,รายชื่อลูกบ้าน!$A:$B,2,FALSE)</f>
        <v>คุณชาญชัย ตนะศุภผล</v>
      </c>
      <c r="H288" t="s">
        <v>385</v>
      </c>
      <c r="J288" s="23">
        <v>600</v>
      </c>
    </row>
    <row r="289" spans="1:10">
      <c r="A289" s="2">
        <v>242190</v>
      </c>
      <c r="B289" s="7" t="s">
        <v>34</v>
      </c>
      <c r="C289" s="3" t="str">
        <f>VLOOKUP(B289,'Accounts chart'!$A:$B,2,FALSE)</f>
        <v>รายรับค่าส่วนกลาง</v>
      </c>
      <c r="D289" t="s">
        <v>725</v>
      </c>
      <c r="F289" t="s">
        <v>161</v>
      </c>
      <c r="G289" t="str">
        <f>VLOOKUP(F289,รายชื่อลูกบ้าน!$A:$B,2,FALSE)</f>
        <v>คุณพงษ์พัฒนา มาบุญ</v>
      </c>
      <c r="H289" t="s">
        <v>384</v>
      </c>
      <c r="J289" s="23">
        <v>600</v>
      </c>
    </row>
    <row r="290" spans="1:10">
      <c r="A290" s="2"/>
    </row>
    <row r="291" spans="1:10">
      <c r="A291" s="2"/>
    </row>
    <row r="292" spans="1:10">
      <c r="A292" s="2">
        <v>242191</v>
      </c>
      <c r="B292" s="7" t="s">
        <v>3</v>
      </c>
      <c r="C292" s="3" t="str">
        <f>VLOOKUP(B292,'Accounts chart'!$A:$B,2,FALSE)</f>
        <v>ธนาคารกสิกรไทย SA-040-1-56500-0</v>
      </c>
      <c r="D292" t="s">
        <v>726</v>
      </c>
      <c r="E292" t="s">
        <v>538</v>
      </c>
      <c r="F292" t="s">
        <v>109</v>
      </c>
      <c r="G292" t="str">
        <f>VLOOKUP(F292,รายชื่อลูกบ้าน!$A:$B,2,FALSE)</f>
        <v>คุณพัฒนชญา+คุณธิตินันท์ วงค์บุปผา</v>
      </c>
      <c r="H292" t="s">
        <v>385</v>
      </c>
      <c r="I292" s="23">
        <v>600</v>
      </c>
    </row>
    <row r="293" spans="1:10">
      <c r="A293" s="2">
        <v>242191</v>
      </c>
      <c r="B293" s="7" t="s">
        <v>3</v>
      </c>
      <c r="C293" s="3" t="str">
        <f>VLOOKUP(B293,'Accounts chart'!$A:$B,2,FALSE)</f>
        <v>ธนาคารกสิกรไทย SA-040-1-56500-0</v>
      </c>
      <c r="D293" t="s">
        <v>726</v>
      </c>
      <c r="E293" t="s">
        <v>539</v>
      </c>
      <c r="F293" t="s">
        <v>365</v>
      </c>
      <c r="G293" t="str">
        <f>VLOOKUP(F293,รายชื่อลูกบ้าน!$A:$B,2,FALSE)</f>
        <v>คุณสุริยา ใจมา</v>
      </c>
      <c r="H293" t="s">
        <v>385</v>
      </c>
      <c r="I293" s="23">
        <v>600</v>
      </c>
    </row>
    <row r="294" spans="1:10">
      <c r="A294" s="2">
        <v>242191</v>
      </c>
      <c r="B294" s="7" t="s">
        <v>3</v>
      </c>
      <c r="C294" s="3" t="str">
        <f>VLOOKUP(B294,'Accounts chart'!$A:$B,2,FALSE)</f>
        <v>ธนาคารกสิกรไทย SA-040-1-56500-0</v>
      </c>
      <c r="D294" t="s">
        <v>726</v>
      </c>
      <c r="E294" t="s">
        <v>540</v>
      </c>
      <c r="F294" t="s">
        <v>295</v>
      </c>
      <c r="G294" t="str">
        <f>VLOOKUP(F294,รายชื่อลูกบ้าน!$A:$B,2,FALSE)</f>
        <v>คุณภานุรังสิทธิ์-คุณภญาดา หมื่นจันทร์</v>
      </c>
      <c r="H294" t="s">
        <v>385</v>
      </c>
      <c r="I294" s="23">
        <v>600</v>
      </c>
    </row>
    <row r="295" spans="1:10">
      <c r="A295" s="2">
        <v>242191</v>
      </c>
      <c r="B295" s="7" t="s">
        <v>3</v>
      </c>
      <c r="C295" s="3" t="str">
        <f>VLOOKUP(B295,'Accounts chart'!$A:$B,2,FALSE)</f>
        <v>ธนาคารกสิกรไทย SA-040-1-56500-0</v>
      </c>
      <c r="D295" t="s">
        <v>726</v>
      </c>
      <c r="E295" t="s">
        <v>541</v>
      </c>
      <c r="F295" t="s">
        <v>313</v>
      </c>
      <c r="G295" t="str">
        <f>VLOOKUP(F295,รายชื่อลูกบ้าน!$A:$B,2,FALSE)</f>
        <v>คุณภานุมาศ ธนาธรศิริยุทธ์</v>
      </c>
      <c r="H295" t="s">
        <v>415</v>
      </c>
      <c r="I295" s="23">
        <v>1200.01</v>
      </c>
    </row>
    <row r="296" spans="1:10">
      <c r="A296" s="2">
        <v>242191</v>
      </c>
      <c r="B296" s="7" t="s">
        <v>3</v>
      </c>
      <c r="C296" s="3" t="str">
        <f>VLOOKUP(B296,'Accounts chart'!$A:$B,2,FALSE)</f>
        <v>ธนาคารกสิกรไทย SA-040-1-56500-0</v>
      </c>
      <c r="D296" t="s">
        <v>726</v>
      </c>
      <c r="E296" t="s">
        <v>542</v>
      </c>
      <c r="F296" t="s">
        <v>74</v>
      </c>
      <c r="G296" t="str">
        <f>VLOOKUP(F296,รายชื่อลูกบ้าน!$A:$B,2,FALSE)</f>
        <v>คุณคมกฤษณ์ เรืองเพ็ง</v>
      </c>
      <c r="H296" t="s">
        <v>385</v>
      </c>
      <c r="I296" s="23">
        <v>600</v>
      </c>
    </row>
    <row r="297" spans="1:10">
      <c r="A297" s="2">
        <v>242191</v>
      </c>
      <c r="B297" s="7" t="s">
        <v>3</v>
      </c>
      <c r="C297" s="3" t="str">
        <f>VLOOKUP(B297,'Accounts chart'!$A:$B,2,FALSE)</f>
        <v>ธนาคารกสิกรไทย SA-040-1-56500-0</v>
      </c>
      <c r="D297" t="s">
        <v>726</v>
      </c>
      <c r="E297" t="s">
        <v>543</v>
      </c>
      <c r="F297" t="s">
        <v>339</v>
      </c>
      <c r="G297" t="str">
        <f>VLOOKUP(F297,รายชื่อลูกบ้าน!$A:$B,2,FALSE)</f>
        <v>คุณภควัต สันหนองเมือง</v>
      </c>
      <c r="H297" t="s">
        <v>384</v>
      </c>
      <c r="I297" s="23">
        <v>600</v>
      </c>
    </row>
    <row r="298" spans="1:10">
      <c r="A298" s="2">
        <v>242191</v>
      </c>
      <c r="B298" s="7" t="s">
        <v>3</v>
      </c>
      <c r="C298" s="3" t="str">
        <f>VLOOKUP(B298,'Accounts chart'!$A:$B,2,FALSE)</f>
        <v>ธนาคารกสิกรไทย SA-040-1-56500-0</v>
      </c>
      <c r="D298" t="s">
        <v>726</v>
      </c>
      <c r="E298" t="s">
        <v>544</v>
      </c>
      <c r="F298" t="s">
        <v>217</v>
      </c>
      <c r="G298" t="str">
        <f>VLOOKUP(F298,รายชื่อลูกบ้าน!$A:$B,2,FALSE)</f>
        <v>คุณสรรชัย-คุณโสภณ สายยศ</v>
      </c>
      <c r="H298" t="s">
        <v>417</v>
      </c>
      <c r="I298" s="23">
        <v>3600</v>
      </c>
    </row>
    <row r="299" spans="1:10">
      <c r="A299" s="25">
        <v>242191</v>
      </c>
      <c r="B299" s="26" t="s">
        <v>3</v>
      </c>
      <c r="C299" s="27" t="str">
        <f>VLOOKUP(B299,'Accounts chart'!$A:$B,2,FALSE)</f>
        <v>ธนาคารกสิกรไทย SA-040-1-56500-0</v>
      </c>
      <c r="D299" s="4" t="s">
        <v>726</v>
      </c>
      <c r="E299" s="4" t="s">
        <v>545</v>
      </c>
      <c r="F299" s="4"/>
      <c r="G299" s="4" t="e">
        <f>VLOOKUP(F299,รายชื่อลูกบ้าน!$A:$B,2,FALSE)</f>
        <v>#N/A</v>
      </c>
      <c r="H299" s="4" t="s">
        <v>385</v>
      </c>
      <c r="I299" s="28">
        <v>600</v>
      </c>
      <c r="J299" s="28"/>
    </row>
    <row r="300" spans="1:10">
      <c r="A300" s="2">
        <v>242191</v>
      </c>
      <c r="B300" s="7" t="s">
        <v>3</v>
      </c>
      <c r="C300" s="3" t="str">
        <f>VLOOKUP(B300,'Accounts chart'!$A:$B,2,FALSE)</f>
        <v>ธนาคารกสิกรไทย SA-040-1-56500-0</v>
      </c>
      <c r="D300" t="s">
        <v>726</v>
      </c>
      <c r="E300" t="s">
        <v>971</v>
      </c>
      <c r="F300" t="s">
        <v>273</v>
      </c>
      <c r="G300" t="str">
        <f>VLOOKUP(F300,รายชื่อลูกบ้าน!$A:$B,2,FALSE)</f>
        <v>คุณนฤมล-คุณสัญญา คำภิลัง คุณชัยญา สิงห์ระกุล</v>
      </c>
      <c r="H300" t="s">
        <v>972</v>
      </c>
      <c r="I300" s="20">
        <v>7000</v>
      </c>
      <c r="J300" s="20"/>
    </row>
    <row r="301" spans="1:10">
      <c r="A301" s="2">
        <v>242191</v>
      </c>
      <c r="B301" s="7" t="s">
        <v>34</v>
      </c>
      <c r="C301" s="3" t="str">
        <f>VLOOKUP(B301,'Accounts chart'!$A:$B,2,FALSE)</f>
        <v>รายรับค่าส่วนกลาง</v>
      </c>
      <c r="D301" t="s">
        <v>726</v>
      </c>
      <c r="E301" t="s">
        <v>538</v>
      </c>
      <c r="F301" t="s">
        <v>109</v>
      </c>
      <c r="G301" t="str">
        <f>VLOOKUP(F301,รายชื่อลูกบ้าน!$A:$B,2,FALSE)</f>
        <v>คุณพัฒนชญา+คุณธิตินันท์ วงค์บุปผา</v>
      </c>
      <c r="H301" t="s">
        <v>385</v>
      </c>
      <c r="J301" s="23">
        <v>600</v>
      </c>
    </row>
    <row r="302" spans="1:10">
      <c r="A302" s="2">
        <v>242191</v>
      </c>
      <c r="B302" s="7" t="s">
        <v>34</v>
      </c>
      <c r="C302" s="3" t="str">
        <f>VLOOKUP(B302,'Accounts chart'!$A:$B,2,FALSE)</f>
        <v>รายรับค่าส่วนกลาง</v>
      </c>
      <c r="D302" t="s">
        <v>726</v>
      </c>
      <c r="E302" t="s">
        <v>539</v>
      </c>
      <c r="F302" t="s">
        <v>365</v>
      </c>
      <c r="G302" t="str">
        <f>VLOOKUP(F302,รายชื่อลูกบ้าน!$A:$B,2,FALSE)</f>
        <v>คุณสุริยา ใจมา</v>
      </c>
      <c r="H302" t="s">
        <v>385</v>
      </c>
      <c r="J302" s="23">
        <v>600</v>
      </c>
    </row>
    <row r="303" spans="1:10">
      <c r="A303" s="2">
        <v>242191</v>
      </c>
      <c r="B303" s="7" t="s">
        <v>34</v>
      </c>
      <c r="C303" s="3" t="str">
        <f>VLOOKUP(B303,'Accounts chart'!$A:$B,2,FALSE)</f>
        <v>รายรับค่าส่วนกลาง</v>
      </c>
      <c r="D303" t="s">
        <v>726</v>
      </c>
      <c r="E303" t="s">
        <v>540</v>
      </c>
      <c r="F303" t="s">
        <v>295</v>
      </c>
      <c r="G303" t="str">
        <f>VLOOKUP(F303,รายชื่อลูกบ้าน!$A:$B,2,FALSE)</f>
        <v>คุณภานุรังสิทธิ์-คุณภญาดา หมื่นจันทร์</v>
      </c>
      <c r="H303" t="s">
        <v>385</v>
      </c>
      <c r="J303" s="23">
        <v>600</v>
      </c>
    </row>
    <row r="304" spans="1:10">
      <c r="A304" s="2">
        <v>242191</v>
      </c>
      <c r="B304" s="7" t="s">
        <v>34</v>
      </c>
      <c r="C304" s="3" t="str">
        <f>VLOOKUP(B304,'Accounts chart'!$A:$B,2,FALSE)</f>
        <v>รายรับค่าส่วนกลาง</v>
      </c>
      <c r="D304" t="s">
        <v>726</v>
      </c>
      <c r="E304" t="s">
        <v>541</v>
      </c>
      <c r="F304" t="s">
        <v>313</v>
      </c>
      <c r="G304" t="str">
        <f>VLOOKUP(F304,รายชื่อลูกบ้าน!$A:$B,2,FALSE)</f>
        <v>คุณภานุมาศ ธนาธรศิริยุทธ์</v>
      </c>
      <c r="H304" t="s">
        <v>415</v>
      </c>
      <c r="J304" s="23">
        <v>1200.01</v>
      </c>
    </row>
    <row r="305" spans="1:10">
      <c r="A305" s="2">
        <v>242191</v>
      </c>
      <c r="B305" s="7" t="s">
        <v>34</v>
      </c>
      <c r="C305" s="3" t="str">
        <f>VLOOKUP(B305,'Accounts chart'!$A:$B,2,FALSE)</f>
        <v>รายรับค่าส่วนกลาง</v>
      </c>
      <c r="D305" t="s">
        <v>726</v>
      </c>
      <c r="E305" t="s">
        <v>542</v>
      </c>
      <c r="F305" t="s">
        <v>74</v>
      </c>
      <c r="G305" t="str">
        <f>VLOOKUP(F305,รายชื่อลูกบ้าน!$A:$B,2,FALSE)</f>
        <v>คุณคมกฤษณ์ เรืองเพ็ง</v>
      </c>
      <c r="H305" t="s">
        <v>385</v>
      </c>
      <c r="J305" s="23">
        <v>600</v>
      </c>
    </row>
    <row r="306" spans="1:10">
      <c r="A306" s="2">
        <v>242191</v>
      </c>
      <c r="B306" s="7" t="s">
        <v>34</v>
      </c>
      <c r="C306" s="3" t="str">
        <f>VLOOKUP(B306,'Accounts chart'!$A:$B,2,FALSE)</f>
        <v>รายรับค่าส่วนกลาง</v>
      </c>
      <c r="D306" t="s">
        <v>726</v>
      </c>
      <c r="E306" t="s">
        <v>543</v>
      </c>
      <c r="F306" t="s">
        <v>339</v>
      </c>
      <c r="G306" t="str">
        <f>VLOOKUP(F306,รายชื่อลูกบ้าน!$A:$B,2,FALSE)</f>
        <v>คุณภควัต สันหนองเมือง</v>
      </c>
      <c r="H306" t="s">
        <v>384</v>
      </c>
      <c r="J306" s="23">
        <v>600</v>
      </c>
    </row>
    <row r="307" spans="1:10">
      <c r="A307" s="2">
        <v>242191</v>
      </c>
      <c r="B307" s="7" t="s">
        <v>34</v>
      </c>
      <c r="C307" s="3" t="str">
        <f>VLOOKUP(B307,'Accounts chart'!$A:$B,2,FALSE)</f>
        <v>รายรับค่าส่วนกลาง</v>
      </c>
      <c r="D307" t="s">
        <v>726</v>
      </c>
      <c r="E307" t="s">
        <v>544</v>
      </c>
      <c r="F307" t="s">
        <v>217</v>
      </c>
      <c r="G307" t="str">
        <f>VLOOKUP(F307,รายชื่อลูกบ้าน!$A:$B,2,FALSE)</f>
        <v>คุณสรรชัย-คุณโสภณ สายยศ</v>
      </c>
      <c r="H307" t="s">
        <v>417</v>
      </c>
      <c r="J307" s="23">
        <v>3600</v>
      </c>
    </row>
    <row r="308" spans="1:10">
      <c r="A308" s="25">
        <v>242191</v>
      </c>
      <c r="B308" s="26" t="s">
        <v>26</v>
      </c>
      <c r="C308" s="27" t="str">
        <f>VLOOKUP(B308,'Accounts chart'!$A:$B,2,FALSE)</f>
        <v>รายได้ค่าส่วนกลางไม่ทราบชือ</v>
      </c>
      <c r="D308" s="4" t="s">
        <v>726</v>
      </c>
      <c r="E308" s="4" t="s">
        <v>545</v>
      </c>
      <c r="F308" s="4"/>
      <c r="G308" s="4" t="e">
        <f>VLOOKUP(F308,รายชื่อลูกบ้าน!$A:$B,2,FALSE)</f>
        <v>#N/A</v>
      </c>
      <c r="H308" s="4" t="s">
        <v>385</v>
      </c>
      <c r="I308" s="28"/>
      <c r="J308" s="28">
        <v>600</v>
      </c>
    </row>
    <row r="309" spans="1:10">
      <c r="A309" s="2">
        <v>242191</v>
      </c>
      <c r="B309" s="7" t="s">
        <v>34</v>
      </c>
      <c r="C309" s="3" t="str">
        <f>VLOOKUP(B309,'Accounts chart'!$A:$B,2,FALSE)</f>
        <v>รายรับค่าส่วนกลาง</v>
      </c>
      <c r="D309" t="s">
        <v>726</v>
      </c>
      <c r="E309" t="s">
        <v>971</v>
      </c>
      <c r="F309" t="s">
        <v>273</v>
      </c>
      <c r="G309" t="s">
        <v>274</v>
      </c>
      <c r="H309" t="s">
        <v>972</v>
      </c>
      <c r="J309" s="23">
        <v>7000</v>
      </c>
    </row>
    <row r="310" spans="1:10">
      <c r="A310" s="2"/>
      <c r="C310" s="3"/>
    </row>
    <row r="311" spans="1:10">
      <c r="A311" s="2">
        <v>242193</v>
      </c>
      <c r="B311" s="7" t="s">
        <v>3</v>
      </c>
      <c r="C311" s="3" t="str">
        <f>VLOOKUP(B311,'Accounts chart'!$A:$B,2,FALSE)</f>
        <v>ธนาคารกสิกรไทย SA-040-1-56500-0</v>
      </c>
      <c r="D311" t="s">
        <v>727</v>
      </c>
      <c r="E311" t="s">
        <v>546</v>
      </c>
      <c r="F311" t="s">
        <v>162</v>
      </c>
      <c r="G311" t="str">
        <f>VLOOKUP(F311,รายชื่อลูกบ้าน!$A:$B,2,FALSE)</f>
        <v>คุณศริตวรรธน์ ศรีวัฒนวรกุล</v>
      </c>
      <c r="H311" t="s">
        <v>385</v>
      </c>
      <c r="I311" s="23">
        <v>600</v>
      </c>
    </row>
    <row r="312" spans="1:10">
      <c r="A312" s="2">
        <v>242193</v>
      </c>
      <c r="B312" s="7" t="s">
        <v>3</v>
      </c>
      <c r="C312" s="3" t="str">
        <f>VLOOKUP(B312,'Accounts chart'!$A:$B,2,FALSE)</f>
        <v>ธนาคารกสิกรไทย SA-040-1-56500-0</v>
      </c>
      <c r="D312" t="s">
        <v>727</v>
      </c>
      <c r="E312" t="s">
        <v>547</v>
      </c>
      <c r="F312" t="s">
        <v>121</v>
      </c>
      <c r="G312" t="str">
        <f>VLOOKUP(F312,รายชื่อลูกบ้าน!$A:$B,2,FALSE)</f>
        <v>คุณสถิตย์ ปาระพิมพ์</v>
      </c>
      <c r="H312" t="s">
        <v>384</v>
      </c>
      <c r="I312" s="23">
        <v>600</v>
      </c>
    </row>
    <row r="313" spans="1:10">
      <c r="A313" s="2">
        <v>242193</v>
      </c>
      <c r="B313" s="7" t="s">
        <v>3</v>
      </c>
      <c r="C313" s="3" t="str">
        <f>VLOOKUP(B313,'Accounts chart'!$A:$B,2,FALSE)</f>
        <v>ธนาคารกสิกรไทย SA-040-1-56500-0</v>
      </c>
      <c r="D313" t="s">
        <v>727</v>
      </c>
      <c r="E313" t="s">
        <v>548</v>
      </c>
      <c r="F313" t="s">
        <v>87</v>
      </c>
      <c r="G313" t="str">
        <f>VLOOKUP(F313,รายชื่อลูกบ้าน!$A:$B,2,FALSE)</f>
        <v>คุณคงกฤษณ์ กาญจนพฤกษ์</v>
      </c>
      <c r="H313" t="s">
        <v>384</v>
      </c>
      <c r="I313" s="23">
        <v>600</v>
      </c>
    </row>
    <row r="314" spans="1:10">
      <c r="A314" s="25">
        <v>242193</v>
      </c>
      <c r="B314" s="26" t="s">
        <v>3</v>
      </c>
      <c r="C314" s="27" t="str">
        <f>VLOOKUP(B314,'Accounts chart'!$A:$B,2,FALSE)</f>
        <v>ธนาคารกสิกรไทย SA-040-1-56500-0</v>
      </c>
      <c r="D314" s="4" t="s">
        <v>727</v>
      </c>
      <c r="E314" s="4" t="s">
        <v>549</v>
      </c>
      <c r="F314" s="4" t="s">
        <v>410</v>
      </c>
      <c r="G314" s="4" t="e">
        <f>VLOOKUP(F314,รายชื่อลูกบ้าน!$A:$B,2,FALSE)</f>
        <v>#N/A</v>
      </c>
      <c r="H314" s="4" t="s">
        <v>418</v>
      </c>
      <c r="I314" s="28">
        <v>600</v>
      </c>
      <c r="J314" s="28"/>
    </row>
    <row r="315" spans="1:10">
      <c r="A315" s="2">
        <v>242193</v>
      </c>
      <c r="B315" s="7" t="s">
        <v>3</v>
      </c>
      <c r="C315" s="3" t="str">
        <f>VLOOKUP(B315,'Accounts chart'!$A:$B,2,FALSE)</f>
        <v>ธนาคารกสิกรไทย SA-040-1-56500-0</v>
      </c>
      <c r="D315" t="s">
        <v>727</v>
      </c>
      <c r="E315" t="s">
        <v>550</v>
      </c>
      <c r="F315" t="s">
        <v>205</v>
      </c>
      <c r="G315" t="str">
        <f>VLOOKUP(F315,รายชื่อลูกบ้าน!$A:$B,2,FALSE)</f>
        <v>คุณฬุริยา หิมะชาติ</v>
      </c>
      <c r="H315" t="s">
        <v>403</v>
      </c>
      <c r="I315" s="23">
        <v>1200</v>
      </c>
    </row>
    <row r="316" spans="1:10">
      <c r="A316" s="2">
        <v>242193</v>
      </c>
      <c r="B316" s="7" t="s">
        <v>3</v>
      </c>
      <c r="C316" s="3" t="str">
        <f>VLOOKUP(B316,'Accounts chart'!$A:$B,2,FALSE)</f>
        <v>ธนาคารกสิกรไทย SA-040-1-56500-0</v>
      </c>
      <c r="D316" t="s">
        <v>727</v>
      </c>
      <c r="E316" t="s">
        <v>551</v>
      </c>
      <c r="F316" t="s">
        <v>205</v>
      </c>
      <c r="G316" t="str">
        <f>VLOOKUP(F316,รายชื่อลูกบ้าน!$A:$B,2,FALSE)</f>
        <v>คุณฬุริยา หิมะชาติ</v>
      </c>
      <c r="H316" t="s">
        <v>401</v>
      </c>
      <c r="I316" s="23">
        <v>1800</v>
      </c>
    </row>
    <row r="317" spans="1:10">
      <c r="A317" s="2">
        <v>242193</v>
      </c>
      <c r="B317" s="7" t="s">
        <v>3</v>
      </c>
      <c r="C317" s="3" t="str">
        <f>VLOOKUP(B317,'Accounts chart'!$A:$B,2,FALSE)</f>
        <v>ธนาคารกสิกรไทย SA-040-1-56500-0</v>
      </c>
      <c r="D317" t="s">
        <v>727</v>
      </c>
      <c r="E317" t="s">
        <v>552</v>
      </c>
      <c r="F317" t="s">
        <v>128</v>
      </c>
      <c r="G317" t="str">
        <f>VLOOKUP(F317,รายชื่อลูกบ้าน!$A:$B,2,FALSE)</f>
        <v>คุณนันทรัตน์ เชียววัฒนะ</v>
      </c>
      <c r="H317" t="s">
        <v>404</v>
      </c>
      <c r="I317" s="23">
        <v>1800</v>
      </c>
    </row>
    <row r="318" spans="1:10">
      <c r="A318" s="2">
        <v>242193</v>
      </c>
      <c r="B318" s="7" t="s">
        <v>3</v>
      </c>
      <c r="C318" s="3" t="str">
        <f>VLOOKUP(B318,'Accounts chart'!$A:$B,2,FALSE)</f>
        <v>ธนาคารกสิกรไทย SA-040-1-56500-0</v>
      </c>
      <c r="D318" t="s">
        <v>727</v>
      </c>
      <c r="E318" t="s">
        <v>553</v>
      </c>
      <c r="F318" t="s">
        <v>128</v>
      </c>
      <c r="G318" t="str">
        <f>VLOOKUP(F318,รายชื่อลูกบ้าน!$A:$B,2,FALSE)</f>
        <v>คุณนันทรัตน์ เชียววัฒนะ</v>
      </c>
      <c r="H318" t="s">
        <v>401</v>
      </c>
      <c r="I318" s="23">
        <v>1800</v>
      </c>
    </row>
    <row r="319" spans="1:10">
      <c r="A319" s="2">
        <v>242193</v>
      </c>
      <c r="B319" s="7" t="s">
        <v>3</v>
      </c>
      <c r="C319" s="3" t="str">
        <f>VLOOKUP(B319,'Accounts chart'!$A:$B,2,FALSE)</f>
        <v>ธนาคารกสิกรไทย SA-040-1-56500-0</v>
      </c>
      <c r="D319" t="s">
        <v>727</v>
      </c>
      <c r="E319" t="s">
        <v>554</v>
      </c>
      <c r="F319" t="s">
        <v>279</v>
      </c>
      <c r="G319" t="str">
        <f>VLOOKUP(F319,รายชื่อลูกบ้าน!$A:$B,2,FALSE)</f>
        <v>คุณเสกสิทธิ์ คำธานี</v>
      </c>
      <c r="H319" t="s">
        <v>384</v>
      </c>
      <c r="I319" s="23">
        <v>601.09</v>
      </c>
    </row>
    <row r="320" spans="1:10">
      <c r="A320" s="2">
        <v>242193</v>
      </c>
      <c r="B320" s="7" t="s">
        <v>34</v>
      </c>
      <c r="C320" s="3" t="str">
        <f>VLOOKUP(B320,'Accounts chart'!$A:$B,2,FALSE)</f>
        <v>รายรับค่าส่วนกลาง</v>
      </c>
      <c r="D320" t="s">
        <v>727</v>
      </c>
      <c r="E320" t="s">
        <v>546</v>
      </c>
      <c r="F320" t="s">
        <v>162</v>
      </c>
      <c r="G320" t="str">
        <f>VLOOKUP(F320,รายชื่อลูกบ้าน!$A:$B,2,FALSE)</f>
        <v>คุณศริตวรรธน์ ศรีวัฒนวรกุล</v>
      </c>
      <c r="H320" t="s">
        <v>385</v>
      </c>
      <c r="J320" s="23">
        <v>600</v>
      </c>
    </row>
    <row r="321" spans="1:10">
      <c r="A321" s="2">
        <v>242193</v>
      </c>
      <c r="B321" s="7" t="s">
        <v>34</v>
      </c>
      <c r="C321" s="3" t="str">
        <f>VLOOKUP(B321,'Accounts chart'!$A:$B,2,FALSE)</f>
        <v>รายรับค่าส่วนกลาง</v>
      </c>
      <c r="D321" t="s">
        <v>727</v>
      </c>
      <c r="E321" t="s">
        <v>547</v>
      </c>
      <c r="F321" t="s">
        <v>121</v>
      </c>
      <c r="G321" t="str">
        <f>VLOOKUP(F321,รายชื่อลูกบ้าน!$A:$B,2,FALSE)</f>
        <v>คุณสถิตย์ ปาระพิมพ์</v>
      </c>
      <c r="H321" t="s">
        <v>384</v>
      </c>
      <c r="J321" s="23">
        <v>600</v>
      </c>
    </row>
    <row r="322" spans="1:10">
      <c r="A322" s="2">
        <v>242193</v>
      </c>
      <c r="B322" s="7" t="s">
        <v>34</v>
      </c>
      <c r="C322" s="3" t="str">
        <f>VLOOKUP(B322,'Accounts chart'!$A:$B,2,FALSE)</f>
        <v>รายรับค่าส่วนกลาง</v>
      </c>
      <c r="D322" t="s">
        <v>727</v>
      </c>
      <c r="E322" t="s">
        <v>548</v>
      </c>
      <c r="F322" t="s">
        <v>87</v>
      </c>
      <c r="G322" t="str">
        <f>VLOOKUP(F322,รายชื่อลูกบ้าน!$A:$B,2,FALSE)</f>
        <v>คุณคงกฤษณ์ กาญจนพฤกษ์</v>
      </c>
      <c r="H322" t="s">
        <v>384</v>
      </c>
      <c r="J322" s="23">
        <v>600</v>
      </c>
    </row>
    <row r="323" spans="1:10">
      <c r="A323" s="25">
        <v>242193</v>
      </c>
      <c r="B323" s="26" t="s">
        <v>26</v>
      </c>
      <c r="C323" s="27" t="str">
        <f>VLOOKUP(B323,'Accounts chart'!$A:$B,2,FALSE)</f>
        <v>รายได้ค่าส่วนกลางไม่ทราบชือ</v>
      </c>
      <c r="D323" s="4" t="s">
        <v>727</v>
      </c>
      <c r="E323" s="4" t="s">
        <v>549</v>
      </c>
      <c r="F323" s="4" t="s">
        <v>410</v>
      </c>
      <c r="G323" s="4" t="e">
        <f>VLOOKUP(F323,รายชื่อลูกบ้าน!$A:$B,2,FALSE)</f>
        <v>#N/A</v>
      </c>
      <c r="H323" s="4" t="s">
        <v>418</v>
      </c>
      <c r="I323" s="28"/>
      <c r="J323" s="28">
        <v>600</v>
      </c>
    </row>
    <row r="324" spans="1:10">
      <c r="A324" s="2">
        <v>242193</v>
      </c>
      <c r="B324" s="7" t="s">
        <v>4</v>
      </c>
      <c r="C324" s="3" t="str">
        <f>VLOOKUP(B324,'Accounts chart'!$A:$B,2,FALSE)</f>
        <v>ลูกหนี้ค่าส่วนกลาง</v>
      </c>
      <c r="D324" t="s">
        <v>727</v>
      </c>
      <c r="E324" t="s">
        <v>550</v>
      </c>
      <c r="F324" t="s">
        <v>205</v>
      </c>
      <c r="G324" t="str">
        <f>VLOOKUP(F324,รายชื่อลูกบ้าน!$A:$B,2,FALSE)</f>
        <v>คุณฬุริยา หิมะชาติ</v>
      </c>
      <c r="H324" t="s">
        <v>403</v>
      </c>
      <c r="J324" s="23">
        <v>1200</v>
      </c>
    </row>
    <row r="325" spans="1:10">
      <c r="A325" s="2">
        <v>242193</v>
      </c>
      <c r="B325" s="7" t="s">
        <v>34</v>
      </c>
      <c r="C325" s="3" t="str">
        <f>VLOOKUP(B325,'Accounts chart'!$A:$B,2,FALSE)</f>
        <v>รายรับค่าส่วนกลาง</v>
      </c>
      <c r="D325" t="s">
        <v>727</v>
      </c>
      <c r="E325" t="s">
        <v>551</v>
      </c>
      <c r="F325" t="s">
        <v>205</v>
      </c>
      <c r="G325" t="str">
        <f>VLOOKUP(F325,รายชื่อลูกบ้าน!$A:$B,2,FALSE)</f>
        <v>คุณฬุริยา หิมะชาติ</v>
      </c>
      <c r="H325" t="s">
        <v>401</v>
      </c>
      <c r="J325" s="23">
        <v>1800</v>
      </c>
    </row>
    <row r="326" spans="1:10">
      <c r="A326" s="2">
        <v>242193</v>
      </c>
      <c r="B326" s="7" t="s">
        <v>4</v>
      </c>
      <c r="C326" s="3" t="str">
        <f>VLOOKUP(B326,'Accounts chart'!$A:$B,2,FALSE)</f>
        <v>ลูกหนี้ค่าส่วนกลาง</v>
      </c>
      <c r="D326" t="s">
        <v>727</v>
      </c>
      <c r="E326" t="s">
        <v>552</v>
      </c>
      <c r="F326" t="s">
        <v>128</v>
      </c>
      <c r="G326" t="str">
        <f>VLOOKUP(F326,รายชื่อลูกบ้าน!$A:$B,2,FALSE)</f>
        <v>คุณนันทรัตน์ เชียววัฒนะ</v>
      </c>
      <c r="H326" t="s">
        <v>404</v>
      </c>
      <c r="J326" s="23">
        <v>1800</v>
      </c>
    </row>
    <row r="327" spans="1:10">
      <c r="A327" s="2">
        <v>242193</v>
      </c>
      <c r="B327" s="7" t="s">
        <v>34</v>
      </c>
      <c r="C327" s="3" t="str">
        <f>VLOOKUP(B327,'Accounts chart'!$A:$B,2,FALSE)</f>
        <v>รายรับค่าส่วนกลาง</v>
      </c>
      <c r="D327" t="s">
        <v>727</v>
      </c>
      <c r="E327" t="s">
        <v>553</v>
      </c>
      <c r="F327" t="s">
        <v>128</v>
      </c>
      <c r="G327" t="str">
        <f>VLOOKUP(F327,รายชื่อลูกบ้าน!$A:$B,2,FALSE)</f>
        <v>คุณนันทรัตน์ เชียววัฒนะ</v>
      </c>
      <c r="H327" t="s">
        <v>401</v>
      </c>
      <c r="J327" s="23">
        <v>1800</v>
      </c>
    </row>
    <row r="328" spans="1:10">
      <c r="A328" s="2">
        <v>242193</v>
      </c>
      <c r="B328" s="7" t="s">
        <v>34</v>
      </c>
      <c r="C328" s="3" t="str">
        <f>VLOOKUP(B328,'Accounts chart'!$A:$B,2,FALSE)</f>
        <v>รายรับค่าส่วนกลาง</v>
      </c>
      <c r="D328" t="s">
        <v>727</v>
      </c>
      <c r="E328" t="s">
        <v>554</v>
      </c>
      <c r="F328" t="s">
        <v>279</v>
      </c>
      <c r="G328" t="str">
        <f>VLOOKUP(F328,รายชื่อลูกบ้าน!$A:$B,2,FALSE)</f>
        <v>คุณเสกสิทธิ์ คำธานี</v>
      </c>
      <c r="H328" t="s">
        <v>384</v>
      </c>
      <c r="J328" s="23">
        <v>601.09</v>
      </c>
    </row>
    <row r="329" spans="1:10">
      <c r="A329" s="2"/>
      <c r="C329" s="3"/>
    </row>
    <row r="330" spans="1:10">
      <c r="A330" s="2"/>
      <c r="C330" s="3"/>
    </row>
    <row r="331" spans="1:10">
      <c r="A331" s="2"/>
      <c r="C331" s="3"/>
    </row>
    <row r="332" spans="1:10">
      <c r="A332" s="2">
        <v>242194</v>
      </c>
      <c r="B332" s="7" t="s">
        <v>3</v>
      </c>
      <c r="C332" s="3" t="str">
        <f>VLOOKUP(B332,'Accounts chart'!$A:$B,2,FALSE)</f>
        <v>ธนาคารกสิกรไทย SA-040-1-56500-0</v>
      </c>
      <c r="D332" t="s">
        <v>728</v>
      </c>
      <c r="E332" t="s">
        <v>555</v>
      </c>
      <c r="F332" t="s">
        <v>360</v>
      </c>
      <c r="G332" t="str">
        <f>VLOOKUP(F332,รายชื่อลูกบ้าน!$A:$B,2,FALSE)</f>
        <v>คุณวิษา มีมาก</v>
      </c>
      <c r="H332" t="s">
        <v>385</v>
      </c>
      <c r="I332" s="23">
        <v>600</v>
      </c>
    </row>
    <row r="333" spans="1:10">
      <c r="A333" s="2">
        <v>242194</v>
      </c>
      <c r="B333" s="7" t="s">
        <v>3</v>
      </c>
      <c r="C333" s="3" t="str">
        <f>VLOOKUP(B333,'Accounts chart'!$A:$B,2,FALSE)</f>
        <v>ธนาคารกสิกรไทย SA-040-1-56500-0</v>
      </c>
      <c r="D333" t="s">
        <v>728</v>
      </c>
      <c r="E333" t="s">
        <v>556</v>
      </c>
      <c r="F333" t="s">
        <v>311</v>
      </c>
      <c r="G333" t="str">
        <f>VLOOKUP(F333,รายชื่อลูกบ้าน!$A:$B,2,FALSE)</f>
        <v>คุณปิยณัฐ ปัญญาสวัสดิ์</v>
      </c>
      <c r="H333" t="s">
        <v>385</v>
      </c>
      <c r="I333" s="23">
        <v>600</v>
      </c>
    </row>
    <row r="334" spans="1:10">
      <c r="A334" s="2">
        <v>242194</v>
      </c>
      <c r="B334" s="7" t="s">
        <v>3</v>
      </c>
      <c r="C334" s="3" t="str">
        <f>VLOOKUP(B334,'Accounts chart'!$A:$B,2,FALSE)</f>
        <v>ธนาคารกสิกรไทย SA-040-1-56500-0</v>
      </c>
      <c r="D334" t="s">
        <v>728</v>
      </c>
      <c r="E334" t="s">
        <v>557</v>
      </c>
      <c r="F334" t="s">
        <v>182</v>
      </c>
      <c r="G334" t="str">
        <f>VLOOKUP(F334,รายชื่อลูกบ้าน!$A:$B,2,FALSE)</f>
        <v>คุณสิระพัชร์ หน่อแก้ว</v>
      </c>
      <c r="H334" t="s">
        <v>384</v>
      </c>
      <c r="I334" s="23">
        <v>600.53</v>
      </c>
    </row>
    <row r="335" spans="1:10">
      <c r="A335" s="2">
        <v>242194</v>
      </c>
      <c r="B335" s="7" t="s">
        <v>3</v>
      </c>
      <c r="C335" s="3" t="str">
        <f>VLOOKUP(B335,'Accounts chart'!$A:$B,2,FALSE)</f>
        <v>ธนาคารกสิกรไทย SA-040-1-56500-0</v>
      </c>
      <c r="D335" t="s">
        <v>728</v>
      </c>
      <c r="E335" t="s">
        <v>558</v>
      </c>
      <c r="F335" t="s">
        <v>187</v>
      </c>
      <c r="G335" t="str">
        <f>VLOOKUP(F335,รายชื่อลูกบ้าน!$A:$B,2,FALSE)</f>
        <v>นายญัชพล ภู่ถาวร</v>
      </c>
      <c r="H335" t="s">
        <v>385</v>
      </c>
      <c r="I335" s="23">
        <v>600</v>
      </c>
    </row>
    <row r="336" spans="1:10">
      <c r="A336" s="2">
        <v>242194</v>
      </c>
      <c r="B336" s="7" t="s">
        <v>34</v>
      </c>
      <c r="C336" s="3" t="str">
        <f>VLOOKUP(B336,'Accounts chart'!$A:$B,2,FALSE)</f>
        <v>รายรับค่าส่วนกลาง</v>
      </c>
      <c r="D336" t="s">
        <v>728</v>
      </c>
      <c r="E336" t="s">
        <v>555</v>
      </c>
      <c r="F336" t="s">
        <v>360</v>
      </c>
      <c r="G336" t="str">
        <f>VLOOKUP(F336,รายชื่อลูกบ้าน!$A:$B,2,FALSE)</f>
        <v>คุณวิษา มีมาก</v>
      </c>
      <c r="H336" t="s">
        <v>385</v>
      </c>
      <c r="J336" s="23">
        <v>600</v>
      </c>
    </row>
    <row r="337" spans="1:10">
      <c r="A337" s="2">
        <v>242194</v>
      </c>
      <c r="B337" s="7" t="s">
        <v>34</v>
      </c>
      <c r="C337" s="3" t="str">
        <f>VLOOKUP(B337,'Accounts chart'!$A:$B,2,FALSE)</f>
        <v>รายรับค่าส่วนกลาง</v>
      </c>
      <c r="D337" t="s">
        <v>728</v>
      </c>
      <c r="E337" t="s">
        <v>556</v>
      </c>
      <c r="F337" t="s">
        <v>311</v>
      </c>
      <c r="G337" t="str">
        <f>VLOOKUP(F337,รายชื่อลูกบ้าน!$A:$B,2,FALSE)</f>
        <v>คุณปิยณัฐ ปัญญาสวัสดิ์</v>
      </c>
      <c r="H337" t="s">
        <v>385</v>
      </c>
      <c r="J337" s="23">
        <v>600</v>
      </c>
    </row>
    <row r="338" spans="1:10">
      <c r="A338" s="2">
        <v>242194</v>
      </c>
      <c r="B338" s="7" t="s">
        <v>34</v>
      </c>
      <c r="C338" s="3" t="str">
        <f>VLOOKUP(B338,'Accounts chart'!$A:$B,2,FALSE)</f>
        <v>รายรับค่าส่วนกลาง</v>
      </c>
      <c r="D338" t="s">
        <v>728</v>
      </c>
      <c r="E338" t="s">
        <v>557</v>
      </c>
      <c r="F338" t="s">
        <v>182</v>
      </c>
      <c r="G338" t="str">
        <f>VLOOKUP(F338,รายชื่อลูกบ้าน!$A:$B,2,FALSE)</f>
        <v>คุณสิระพัชร์ หน่อแก้ว</v>
      </c>
      <c r="H338" t="s">
        <v>384</v>
      </c>
      <c r="J338" s="23">
        <v>600.53</v>
      </c>
    </row>
    <row r="339" spans="1:10">
      <c r="A339" s="2">
        <v>242194</v>
      </c>
      <c r="B339" s="7" t="s">
        <v>34</v>
      </c>
      <c r="C339" s="3" t="str">
        <f>VLOOKUP(B339,'Accounts chart'!$A:$B,2,FALSE)</f>
        <v>รายรับค่าส่วนกลาง</v>
      </c>
      <c r="D339" t="s">
        <v>728</v>
      </c>
      <c r="E339" t="s">
        <v>558</v>
      </c>
      <c r="F339" t="s">
        <v>187</v>
      </c>
      <c r="G339" t="str">
        <f>VLOOKUP(F339,รายชื่อลูกบ้าน!$A:$B,2,FALSE)</f>
        <v>นายญัชพล ภู่ถาวร</v>
      </c>
      <c r="H339" t="s">
        <v>385</v>
      </c>
      <c r="J339" s="23">
        <v>600</v>
      </c>
    </row>
    <row r="340" spans="1:10">
      <c r="A340" s="2"/>
      <c r="C340" s="3"/>
      <c r="I340" s="20"/>
      <c r="J340" s="20"/>
    </row>
    <row r="341" spans="1:10">
      <c r="A341" s="2">
        <v>242194</v>
      </c>
      <c r="B341" s="7" t="s">
        <v>44</v>
      </c>
      <c r="C341" s="3" t="str">
        <f>VLOOKUP(B341,'Accounts chart'!$A:$B,2,FALSE)</f>
        <v>วัสดุสิ้นเปลือง</v>
      </c>
      <c r="D341" t="s">
        <v>918</v>
      </c>
      <c r="G341" t="s">
        <v>782</v>
      </c>
      <c r="H341" t="s">
        <v>783</v>
      </c>
      <c r="I341" s="20">
        <v>800</v>
      </c>
      <c r="J341" s="20"/>
    </row>
    <row r="342" spans="1:10">
      <c r="A342" s="2">
        <v>242194</v>
      </c>
      <c r="B342" s="7" t="s">
        <v>2</v>
      </c>
      <c r="C342" s="3" t="str">
        <f>VLOOKUP(B342,'Accounts chart'!$A:$B,2,FALSE)</f>
        <v>ธนาคารกสิกรไทย CA-040-1-57563-4</v>
      </c>
      <c r="D342" t="s">
        <v>918</v>
      </c>
      <c r="G342" t="s">
        <v>782</v>
      </c>
      <c r="H342" t="s">
        <v>783</v>
      </c>
      <c r="I342" s="20"/>
      <c r="J342" s="20">
        <v>800</v>
      </c>
    </row>
    <row r="343" spans="1:10">
      <c r="A343" s="2"/>
      <c r="C343" s="3"/>
      <c r="I343" s="20"/>
      <c r="J343" s="20"/>
    </row>
    <row r="344" spans="1:10">
      <c r="A344" s="2"/>
      <c r="C344" s="3"/>
      <c r="I344" s="20"/>
      <c r="J344" s="20"/>
    </row>
    <row r="345" spans="1:10">
      <c r="A345" s="2">
        <v>242195</v>
      </c>
      <c r="B345" s="7" t="s">
        <v>3</v>
      </c>
      <c r="C345" s="3" t="str">
        <f>VLOOKUP(B345,'Accounts chart'!$A:$B,2,FALSE)</f>
        <v>ธนาคารกสิกรไทย SA-040-1-56500-0</v>
      </c>
      <c r="D345" t="s">
        <v>729</v>
      </c>
      <c r="E345" t="s">
        <v>559</v>
      </c>
      <c r="F345" t="s">
        <v>119</v>
      </c>
      <c r="G345" t="str">
        <f>VLOOKUP(F345,รายชื่อลูกบ้าน!$A:$B,2,FALSE)</f>
        <v>คุณกนกลักษณ์ วิลเลี่ยมส์</v>
      </c>
      <c r="H345" t="s">
        <v>385</v>
      </c>
      <c r="I345" s="20">
        <v>600.15</v>
      </c>
      <c r="J345" s="20"/>
    </row>
    <row r="346" spans="1:10">
      <c r="A346" s="2">
        <v>242195</v>
      </c>
      <c r="B346" s="7" t="s">
        <v>34</v>
      </c>
      <c r="C346" s="3" t="str">
        <f>VLOOKUP(B346,'Accounts chart'!$A:$B,2,FALSE)</f>
        <v>รายรับค่าส่วนกลาง</v>
      </c>
      <c r="D346" t="s">
        <v>729</v>
      </c>
      <c r="E346" t="s">
        <v>559</v>
      </c>
      <c r="F346" t="s">
        <v>119</v>
      </c>
      <c r="G346" t="str">
        <f>VLOOKUP(F346,รายชื่อลูกบ้าน!$A:$B,2,FALSE)</f>
        <v>คุณกนกลักษณ์ วิลเลี่ยมส์</v>
      </c>
      <c r="H346" t="s">
        <v>385</v>
      </c>
      <c r="J346" s="23">
        <v>600.15</v>
      </c>
    </row>
    <row r="347" spans="1:10">
      <c r="A347" s="2"/>
      <c r="C347" s="3"/>
    </row>
    <row r="348" spans="1:10">
      <c r="A348" s="2">
        <v>242196</v>
      </c>
      <c r="B348" s="7" t="s">
        <v>3</v>
      </c>
      <c r="C348" s="3" t="str">
        <f>VLOOKUP(B348,'Accounts chart'!$A:$B,2,FALSE)</f>
        <v>ธนาคารกสิกรไทย SA-040-1-56500-0</v>
      </c>
      <c r="D348" t="s">
        <v>730</v>
      </c>
      <c r="E348" t="s">
        <v>560</v>
      </c>
      <c r="F348" t="s">
        <v>223</v>
      </c>
      <c r="G348" t="str">
        <f>VLOOKUP(F348,รายชื่อลูกบ้าน!$A:$B,2,FALSE)</f>
        <v>คุณสุจิตรา เนินคีริ</v>
      </c>
      <c r="H348" t="s">
        <v>384</v>
      </c>
      <c r="I348" s="23">
        <v>600</v>
      </c>
    </row>
    <row r="349" spans="1:10">
      <c r="A349" s="2">
        <v>242196</v>
      </c>
      <c r="B349" s="7" t="s">
        <v>3</v>
      </c>
      <c r="C349" s="3" t="str">
        <f>VLOOKUP(B349,'Accounts chart'!$A:$B,2,FALSE)</f>
        <v>ธนาคารกสิกรไทย SA-040-1-56500-0</v>
      </c>
      <c r="D349" t="s">
        <v>730</v>
      </c>
      <c r="E349" t="s">
        <v>561</v>
      </c>
      <c r="F349" t="s">
        <v>159</v>
      </c>
      <c r="G349" t="str">
        <f>VLOOKUP(F349,รายชื่อลูกบ้าน!$A:$B,2,FALSE)</f>
        <v>คุณอดุลย์ แก้วอำไพ</v>
      </c>
      <c r="H349" t="s">
        <v>385</v>
      </c>
      <c r="I349" s="23">
        <v>600.38</v>
      </c>
    </row>
    <row r="350" spans="1:10">
      <c r="A350" s="2">
        <v>242196</v>
      </c>
      <c r="B350" s="7" t="s">
        <v>34</v>
      </c>
      <c r="C350" s="3" t="str">
        <f>VLOOKUP(B350,'Accounts chart'!$A:$B,2,FALSE)</f>
        <v>รายรับค่าส่วนกลาง</v>
      </c>
      <c r="D350" t="s">
        <v>730</v>
      </c>
      <c r="E350" t="s">
        <v>560</v>
      </c>
      <c r="F350" t="s">
        <v>223</v>
      </c>
      <c r="G350" t="str">
        <f>VLOOKUP(F350,รายชื่อลูกบ้าน!$A:$B,2,FALSE)</f>
        <v>คุณสุจิตรา เนินคีริ</v>
      </c>
      <c r="H350" t="s">
        <v>384</v>
      </c>
      <c r="J350" s="23">
        <v>600</v>
      </c>
    </row>
    <row r="351" spans="1:10">
      <c r="A351" s="2">
        <v>242196</v>
      </c>
      <c r="B351" s="7" t="s">
        <v>34</v>
      </c>
      <c r="C351" s="3" t="str">
        <f>VLOOKUP(B351,'Accounts chart'!$A:$B,2,FALSE)</f>
        <v>รายรับค่าส่วนกลาง</v>
      </c>
      <c r="D351" t="s">
        <v>730</v>
      </c>
      <c r="E351" t="s">
        <v>561</v>
      </c>
      <c r="F351" t="s">
        <v>159</v>
      </c>
      <c r="G351" t="str">
        <f>VLOOKUP(F351,รายชื่อลูกบ้าน!$A:$B,2,FALSE)</f>
        <v>คุณอดุลย์ แก้วอำไพ</v>
      </c>
      <c r="H351" t="s">
        <v>385</v>
      </c>
      <c r="J351" s="23">
        <v>600.38</v>
      </c>
    </row>
    <row r="352" spans="1:10">
      <c r="A352" s="2"/>
      <c r="C352" s="3"/>
    </row>
    <row r="353" spans="1:10">
      <c r="A353" s="2">
        <v>242199</v>
      </c>
      <c r="B353" s="7" t="s">
        <v>3</v>
      </c>
      <c r="C353" s="3" t="str">
        <f>VLOOKUP(B353,'Accounts chart'!$A:$B,2,FALSE)</f>
        <v>ธนาคารกสิกรไทย SA-040-1-56500-0</v>
      </c>
      <c r="D353" t="s">
        <v>731</v>
      </c>
      <c r="E353" t="s">
        <v>562</v>
      </c>
      <c r="F353" t="s">
        <v>249</v>
      </c>
      <c r="G353" t="str">
        <f>VLOOKUP(F353,รายชื่อลูกบ้าน!$A:$B,2,FALSE)</f>
        <v>คุณทรงเดช กันทาสุวรรณ์</v>
      </c>
      <c r="H353" t="s">
        <v>419</v>
      </c>
      <c r="I353" s="23">
        <v>7200</v>
      </c>
    </row>
    <row r="354" spans="1:10">
      <c r="A354" s="2">
        <v>242199</v>
      </c>
      <c r="B354" s="7" t="s">
        <v>3</v>
      </c>
      <c r="C354" s="3" t="str">
        <f>VLOOKUP(B354,'Accounts chart'!$A:$B,2,FALSE)</f>
        <v>ธนาคารกสิกรไทย SA-040-1-56500-0</v>
      </c>
      <c r="D354" t="s">
        <v>731</v>
      </c>
      <c r="E354" t="s">
        <v>563</v>
      </c>
      <c r="F354" t="s">
        <v>249</v>
      </c>
      <c r="G354" t="str">
        <f>VLOOKUP(F354,รายชื่อลูกบ้าน!$A:$B,2,FALSE)</f>
        <v>คุณทรงเดช กันทาสุวรรณ์</v>
      </c>
      <c r="H354" t="s">
        <v>401</v>
      </c>
      <c r="I354" s="23">
        <v>1800</v>
      </c>
    </row>
    <row r="355" spans="1:10">
      <c r="A355" s="2">
        <v>242199</v>
      </c>
      <c r="B355" s="7" t="s">
        <v>3</v>
      </c>
      <c r="C355" s="3" t="str">
        <f>VLOOKUP(B355,'Accounts chart'!$A:$B,2,FALSE)</f>
        <v>ธนาคารกสิกรไทย SA-040-1-56500-0</v>
      </c>
      <c r="D355" t="s">
        <v>731</v>
      </c>
      <c r="E355" t="s">
        <v>564</v>
      </c>
      <c r="F355" t="s">
        <v>277</v>
      </c>
      <c r="G355" t="str">
        <f>VLOOKUP(F355,รายชื่อลูกบ้าน!$A:$B,2,FALSE)</f>
        <v>คุณสุกิจ พยัฆศิริ</v>
      </c>
      <c r="H355" t="s">
        <v>384</v>
      </c>
      <c r="I355" s="23">
        <v>600</v>
      </c>
    </row>
    <row r="356" spans="1:10">
      <c r="A356" s="2">
        <v>242199</v>
      </c>
      <c r="B356" s="7" t="s">
        <v>3</v>
      </c>
      <c r="C356" s="3" t="str">
        <f>VLOOKUP(B356,'Accounts chart'!$A:$B,2,FALSE)</f>
        <v>ธนาคารกสิกรไทย SA-040-1-56500-0</v>
      </c>
      <c r="D356" t="s">
        <v>731</v>
      </c>
      <c r="E356" t="s">
        <v>565</v>
      </c>
      <c r="F356" t="s">
        <v>167</v>
      </c>
      <c r="G356" t="str">
        <f>VLOOKUP(F356,รายชื่อลูกบ้าน!$A:$B,2,FALSE)</f>
        <v>คุณคฑาวุธ พิมลศรี</v>
      </c>
      <c r="H356" t="s">
        <v>384</v>
      </c>
      <c r="I356" s="23">
        <v>600</v>
      </c>
    </row>
    <row r="357" spans="1:10">
      <c r="A357" s="2">
        <v>242199</v>
      </c>
      <c r="B357" s="7" t="s">
        <v>3</v>
      </c>
      <c r="C357" s="3" t="str">
        <f>VLOOKUP(B357,'Accounts chart'!$A:$B,2,FALSE)</f>
        <v>ธนาคารกสิกรไทย SA-040-1-56500-0</v>
      </c>
      <c r="D357" t="s">
        <v>731</v>
      </c>
      <c r="E357" t="s">
        <v>566</v>
      </c>
      <c r="F357" t="s">
        <v>122</v>
      </c>
      <c r="G357" t="str">
        <f>VLOOKUP(F357,รายชื่อลูกบ้าน!$A:$B,2,FALSE)</f>
        <v>คุณศิวกร รัตนประดิษฐ์</v>
      </c>
      <c r="H357" t="s">
        <v>385</v>
      </c>
      <c r="I357" s="23">
        <v>600</v>
      </c>
    </row>
    <row r="358" spans="1:10">
      <c r="A358" s="2">
        <v>242199</v>
      </c>
      <c r="B358" s="7" t="s">
        <v>4</v>
      </c>
      <c r="C358" s="3" t="str">
        <f>VLOOKUP(B358,'Accounts chart'!$A:$B,2,FALSE)</f>
        <v>ลูกหนี้ค่าส่วนกลาง</v>
      </c>
      <c r="D358" t="s">
        <v>731</v>
      </c>
      <c r="E358" t="s">
        <v>562</v>
      </c>
      <c r="F358" t="s">
        <v>249</v>
      </c>
      <c r="G358" t="str">
        <f>VLOOKUP(F358,รายชื่อลูกบ้าน!$A:$B,2,FALSE)</f>
        <v>คุณทรงเดช กันทาสุวรรณ์</v>
      </c>
      <c r="H358" t="s">
        <v>419</v>
      </c>
      <c r="J358" s="23">
        <v>7200</v>
      </c>
    </row>
    <row r="359" spans="1:10">
      <c r="A359" s="2">
        <v>242199</v>
      </c>
      <c r="B359" s="7" t="s">
        <v>34</v>
      </c>
      <c r="C359" s="3" t="str">
        <f>VLOOKUP(B359,'Accounts chart'!$A:$B,2,FALSE)</f>
        <v>รายรับค่าส่วนกลาง</v>
      </c>
      <c r="D359" t="s">
        <v>731</v>
      </c>
      <c r="E359" t="s">
        <v>563</v>
      </c>
      <c r="F359" t="s">
        <v>249</v>
      </c>
      <c r="G359" t="str">
        <f>VLOOKUP(F359,รายชื่อลูกบ้าน!$A:$B,2,FALSE)</f>
        <v>คุณทรงเดช กันทาสุวรรณ์</v>
      </c>
      <c r="H359" t="s">
        <v>401</v>
      </c>
      <c r="J359" s="23">
        <v>1800</v>
      </c>
    </row>
    <row r="360" spans="1:10">
      <c r="A360" s="2">
        <v>242199</v>
      </c>
      <c r="B360" s="7" t="s">
        <v>34</v>
      </c>
      <c r="C360" s="3" t="str">
        <f>VLOOKUP(B360,'Accounts chart'!$A:$B,2,FALSE)</f>
        <v>รายรับค่าส่วนกลาง</v>
      </c>
      <c r="D360" t="s">
        <v>731</v>
      </c>
      <c r="E360" t="s">
        <v>564</v>
      </c>
      <c r="F360" t="s">
        <v>277</v>
      </c>
      <c r="G360" t="str">
        <f>VLOOKUP(F360,รายชื่อลูกบ้าน!$A:$B,2,FALSE)</f>
        <v>คุณสุกิจ พยัฆศิริ</v>
      </c>
      <c r="H360" t="s">
        <v>384</v>
      </c>
      <c r="J360" s="23">
        <v>600</v>
      </c>
    </row>
    <row r="361" spans="1:10">
      <c r="A361" s="2">
        <v>242199</v>
      </c>
      <c r="B361" s="7" t="s">
        <v>34</v>
      </c>
      <c r="C361" s="3" t="str">
        <f>VLOOKUP(B361,'Accounts chart'!$A:$B,2,FALSE)</f>
        <v>รายรับค่าส่วนกลาง</v>
      </c>
      <c r="D361" t="s">
        <v>731</v>
      </c>
      <c r="E361" t="s">
        <v>565</v>
      </c>
      <c r="F361" t="s">
        <v>167</v>
      </c>
      <c r="G361" t="str">
        <f>VLOOKUP(F361,รายชื่อลูกบ้าน!$A:$B,2,FALSE)</f>
        <v>คุณคฑาวุธ พิมลศรี</v>
      </c>
      <c r="H361" t="s">
        <v>384</v>
      </c>
      <c r="J361" s="23">
        <v>600</v>
      </c>
    </row>
    <row r="362" spans="1:10">
      <c r="A362" s="2">
        <v>242199</v>
      </c>
      <c r="B362" s="7" t="s">
        <v>34</v>
      </c>
      <c r="C362" s="3" t="str">
        <f>VLOOKUP(B362,'Accounts chart'!$A:$B,2,FALSE)</f>
        <v>รายรับค่าส่วนกลาง</v>
      </c>
      <c r="D362" t="s">
        <v>731</v>
      </c>
      <c r="E362" t="s">
        <v>566</v>
      </c>
      <c r="F362" t="s">
        <v>122</v>
      </c>
      <c r="G362" t="str">
        <f>VLOOKUP(F362,รายชื่อลูกบ้าน!$A:$B,2,FALSE)</f>
        <v>คุณศิวกร รัตนประดิษฐ์</v>
      </c>
      <c r="H362" t="s">
        <v>385</v>
      </c>
      <c r="J362" s="23">
        <v>600</v>
      </c>
    </row>
    <row r="363" spans="1:10">
      <c r="A363" s="2"/>
      <c r="C363" s="3"/>
      <c r="I363" s="20"/>
      <c r="J363" s="20"/>
    </row>
    <row r="364" spans="1:10">
      <c r="A364" s="2">
        <v>242199</v>
      </c>
      <c r="B364" s="7" t="s">
        <v>18</v>
      </c>
      <c r="C364" s="3" t="str">
        <f>VLOOKUP(B364,'Accounts chart'!$A:$B,2,FALSE)</f>
        <v>ค่ารักษาความปลอดภัยค้างจ่าย</v>
      </c>
      <c r="D364" t="s">
        <v>919</v>
      </c>
      <c r="G364" t="s">
        <v>769</v>
      </c>
      <c r="H364" t="s">
        <v>784</v>
      </c>
      <c r="I364" s="20">
        <v>38233.18</v>
      </c>
      <c r="J364" s="20"/>
    </row>
    <row r="365" spans="1:10">
      <c r="A365" s="2">
        <v>242199</v>
      </c>
      <c r="B365" s="7" t="s">
        <v>2</v>
      </c>
      <c r="C365" s="3" t="str">
        <f>VLOOKUP(B365,'Accounts chart'!$A:$B,2,FALSE)</f>
        <v>ธนาคารกสิกรไทย CA-040-1-57563-4</v>
      </c>
      <c r="D365" t="s">
        <v>919</v>
      </c>
      <c r="G365" t="s">
        <v>769</v>
      </c>
      <c r="H365" t="s">
        <v>784</v>
      </c>
      <c r="I365" s="20"/>
      <c r="J365" s="20">
        <v>38233.18</v>
      </c>
    </row>
    <row r="366" spans="1:10">
      <c r="A366" s="2"/>
      <c r="C366" s="3"/>
      <c r="I366" s="20"/>
      <c r="J366" s="20"/>
    </row>
    <row r="367" spans="1:10">
      <c r="A367" s="2">
        <v>242199</v>
      </c>
      <c r="B367" s="7" t="s">
        <v>22</v>
      </c>
      <c r="C367" s="3" t="str">
        <f>VLOOKUP(B367,'Accounts chart'!$A:$B,2,FALSE)</f>
        <v>ค่าดูแลส่วนกลางค้างจ่าย</v>
      </c>
      <c r="D367" t="s">
        <v>920</v>
      </c>
      <c r="G367" t="s">
        <v>771</v>
      </c>
      <c r="H367" t="s">
        <v>785</v>
      </c>
      <c r="I367" s="20">
        <v>15000</v>
      </c>
      <c r="J367" s="20"/>
    </row>
    <row r="368" spans="1:10">
      <c r="A368" s="2">
        <v>242199</v>
      </c>
      <c r="B368" s="7" t="s">
        <v>2</v>
      </c>
      <c r="C368" s="3" t="str">
        <f>VLOOKUP(B368,'Accounts chart'!$A:$B,2,FALSE)</f>
        <v>ธนาคารกสิกรไทย CA-040-1-57563-4</v>
      </c>
      <c r="D368" t="s">
        <v>920</v>
      </c>
      <c r="G368" t="s">
        <v>771</v>
      </c>
      <c r="H368" t="s">
        <v>785</v>
      </c>
      <c r="I368" s="20"/>
      <c r="J368" s="20">
        <v>15000</v>
      </c>
    </row>
    <row r="369" spans="1:10">
      <c r="A369" s="2"/>
      <c r="C369" s="3"/>
      <c r="I369" s="20"/>
      <c r="J369" s="20"/>
    </row>
    <row r="370" spans="1:10">
      <c r="A370" s="2">
        <v>242199</v>
      </c>
      <c r="B370" s="7" t="s">
        <v>16</v>
      </c>
      <c r="C370" s="3" t="str">
        <f>VLOOKUP(B370,'Accounts chart'!$A:$B,2,FALSE)</f>
        <v>ค่าบริการดูแลสระว่ายน้ำค้างจ่าย</v>
      </c>
      <c r="D370" t="s">
        <v>921</v>
      </c>
      <c r="G370" t="s">
        <v>775</v>
      </c>
      <c r="H370" t="s">
        <v>786</v>
      </c>
      <c r="I370" s="20">
        <v>7500</v>
      </c>
      <c r="J370" s="20"/>
    </row>
    <row r="371" spans="1:10">
      <c r="A371" s="2">
        <v>242199</v>
      </c>
      <c r="B371" s="7" t="s">
        <v>2</v>
      </c>
      <c r="C371" s="3" t="str">
        <f>VLOOKUP(B371,'Accounts chart'!$A:$B,2,FALSE)</f>
        <v>ธนาคารกสิกรไทย CA-040-1-57563-4</v>
      </c>
      <c r="D371" t="s">
        <v>921</v>
      </c>
      <c r="G371" t="s">
        <v>775</v>
      </c>
      <c r="H371" t="s">
        <v>786</v>
      </c>
      <c r="I371" s="20"/>
      <c r="J371" s="20">
        <v>7500</v>
      </c>
    </row>
    <row r="372" spans="1:10">
      <c r="A372" s="2"/>
      <c r="C372" s="3"/>
      <c r="I372" s="20"/>
      <c r="J372" s="20"/>
    </row>
    <row r="373" spans="1:10">
      <c r="A373" s="2">
        <v>242199</v>
      </c>
      <c r="B373" s="7" t="s">
        <v>14</v>
      </c>
      <c r="C373" s="3" t="str">
        <f>VLOOKUP(B373,'Accounts chart'!$A:$B,2,FALSE)</f>
        <v>ค่าเก็บขยะค้างจ่าย</v>
      </c>
      <c r="D373" t="s">
        <v>922</v>
      </c>
      <c r="G373" t="s">
        <v>773</v>
      </c>
      <c r="H373" t="s">
        <v>787</v>
      </c>
      <c r="I373" s="20">
        <v>3000</v>
      </c>
      <c r="J373" s="20"/>
    </row>
    <row r="374" spans="1:10">
      <c r="A374" s="2">
        <v>242199</v>
      </c>
      <c r="B374" s="7" t="s">
        <v>3</v>
      </c>
      <c r="C374" s="3" t="str">
        <f>VLOOKUP(B374,'Accounts chart'!$A:$B,2,FALSE)</f>
        <v>ธนาคารกสิกรไทย SA-040-1-56500-0</v>
      </c>
      <c r="D374" t="s">
        <v>922</v>
      </c>
      <c r="G374" t="s">
        <v>773</v>
      </c>
      <c r="H374" t="s">
        <v>787</v>
      </c>
      <c r="I374" s="20"/>
      <c r="J374" s="20">
        <v>3000</v>
      </c>
    </row>
    <row r="375" spans="1:10">
      <c r="A375" s="2"/>
      <c r="C375" s="3"/>
      <c r="I375" s="20"/>
      <c r="J375" s="20"/>
    </row>
    <row r="376" spans="1:10">
      <c r="A376" s="2">
        <v>242201</v>
      </c>
      <c r="B376" s="7" t="s">
        <v>3</v>
      </c>
      <c r="C376" s="3" t="str">
        <f>VLOOKUP(B376,'Accounts chart'!$A:$B,2,FALSE)</f>
        <v>ธนาคารกสิกรไทย SA-040-1-56500-0</v>
      </c>
      <c r="D376" t="s">
        <v>732</v>
      </c>
      <c r="E376" t="s">
        <v>567</v>
      </c>
      <c r="F376" t="s">
        <v>331</v>
      </c>
      <c r="G376" t="str">
        <f>VLOOKUP(F376,รายชื่อลูกบ้าน!$A:$B,2,FALSE)</f>
        <v>คุณวชิระ ช่างแก้ว</v>
      </c>
      <c r="H376" t="s">
        <v>400</v>
      </c>
      <c r="I376" s="20">
        <v>600</v>
      </c>
      <c r="J376" s="20"/>
    </row>
    <row r="377" spans="1:10">
      <c r="A377" s="2">
        <v>242201</v>
      </c>
      <c r="B377" s="7" t="s">
        <v>3</v>
      </c>
      <c r="C377" s="3" t="str">
        <f>VLOOKUP(B377,'Accounts chart'!$A:$B,2,FALSE)</f>
        <v>ธนาคารกสิกรไทย SA-040-1-56500-0</v>
      </c>
      <c r="D377" t="s">
        <v>732</v>
      </c>
      <c r="E377" t="s">
        <v>568</v>
      </c>
      <c r="F377" t="s">
        <v>331</v>
      </c>
      <c r="G377" t="str">
        <f>VLOOKUP(F377,รายชื่อลูกบ้าน!$A:$B,2,FALSE)</f>
        <v>คุณวชิระ ช่างแก้ว</v>
      </c>
      <c r="H377" t="s">
        <v>401</v>
      </c>
      <c r="I377" s="23">
        <v>1800</v>
      </c>
    </row>
    <row r="378" spans="1:10">
      <c r="A378" s="2">
        <v>242201</v>
      </c>
      <c r="B378" s="7" t="s">
        <v>3</v>
      </c>
      <c r="C378" s="3" t="str">
        <f>VLOOKUP(B378,'Accounts chart'!$A:$B,2,FALSE)</f>
        <v>ธนาคารกสิกรไทย SA-040-1-56500-0</v>
      </c>
      <c r="D378" t="s">
        <v>732</v>
      </c>
      <c r="E378" t="s">
        <v>569</v>
      </c>
      <c r="F378" t="s">
        <v>193</v>
      </c>
      <c r="G378" t="str">
        <f>VLOOKUP(F378,รายชื่อลูกบ้าน!$A:$B,2,FALSE)</f>
        <v>คุณสมควร สิงห์ชม</v>
      </c>
      <c r="H378" t="s">
        <v>383</v>
      </c>
      <c r="I378" s="23">
        <v>7000</v>
      </c>
    </row>
    <row r="379" spans="1:10">
      <c r="A379" s="2">
        <v>242201</v>
      </c>
      <c r="B379" s="7" t="s">
        <v>4</v>
      </c>
      <c r="C379" s="3" t="str">
        <f>VLOOKUP(B379,'Accounts chart'!$A:$B,2,FALSE)</f>
        <v>ลูกหนี้ค่าส่วนกลาง</v>
      </c>
      <c r="D379" t="s">
        <v>732</v>
      </c>
      <c r="E379" t="s">
        <v>567</v>
      </c>
      <c r="F379" t="s">
        <v>331</v>
      </c>
      <c r="G379" t="str">
        <f>VLOOKUP(F379,รายชื่อลูกบ้าน!$A:$B,2,FALSE)</f>
        <v>คุณวชิระ ช่างแก้ว</v>
      </c>
      <c r="H379" t="s">
        <v>400</v>
      </c>
      <c r="J379" s="23">
        <v>600</v>
      </c>
    </row>
    <row r="380" spans="1:10">
      <c r="A380" s="2">
        <v>242201</v>
      </c>
      <c r="B380" s="7" t="s">
        <v>34</v>
      </c>
      <c r="C380" s="3" t="str">
        <f>VLOOKUP(B380,'Accounts chart'!$A:$B,2,FALSE)</f>
        <v>รายรับค่าส่วนกลาง</v>
      </c>
      <c r="D380" t="s">
        <v>732</v>
      </c>
      <c r="E380" t="s">
        <v>568</v>
      </c>
      <c r="F380" t="s">
        <v>331</v>
      </c>
      <c r="G380" t="str">
        <f>VLOOKUP(F380,รายชื่อลูกบ้าน!$A:$B,2,FALSE)</f>
        <v>คุณวชิระ ช่างแก้ว</v>
      </c>
      <c r="H380" t="s">
        <v>401</v>
      </c>
      <c r="J380" s="23">
        <v>1800</v>
      </c>
    </row>
    <row r="381" spans="1:10">
      <c r="A381" s="2">
        <v>242201</v>
      </c>
      <c r="B381" s="7" t="s">
        <v>34</v>
      </c>
      <c r="C381" s="3" t="str">
        <f>VLOOKUP(B381,'Accounts chart'!$A:$B,2,FALSE)</f>
        <v>รายรับค่าส่วนกลาง</v>
      </c>
      <c r="D381" t="s">
        <v>732</v>
      </c>
      <c r="E381" t="s">
        <v>569</v>
      </c>
      <c r="F381" t="s">
        <v>193</v>
      </c>
      <c r="G381" t="str">
        <f>VLOOKUP(F381,รายชื่อลูกบ้าน!$A:$B,2,FALSE)</f>
        <v>คุณสมควร สิงห์ชม</v>
      </c>
      <c r="H381" t="s">
        <v>383</v>
      </c>
      <c r="J381" s="23">
        <v>7000</v>
      </c>
    </row>
    <row r="382" spans="1:10">
      <c r="A382" s="2"/>
      <c r="C382" s="3"/>
    </row>
    <row r="383" spans="1:10">
      <c r="A383" s="2">
        <v>242202</v>
      </c>
      <c r="B383" s="7" t="s">
        <v>3</v>
      </c>
      <c r="C383" s="3" t="str">
        <f>VLOOKUP(B383,'Accounts chart'!$A:$B,2,FALSE)</f>
        <v>ธนาคารกสิกรไทย SA-040-1-56500-0</v>
      </c>
      <c r="D383" t="s">
        <v>733</v>
      </c>
      <c r="E383" t="s">
        <v>570</v>
      </c>
      <c r="F383" t="s">
        <v>107</v>
      </c>
      <c r="G383" t="str">
        <f>VLOOKUP(F383,รายชื่อลูกบ้าน!$A:$B,2,FALSE)</f>
        <v>คุณอนันต์ แจ่มจันทร์</v>
      </c>
      <c r="H383" t="s">
        <v>385</v>
      </c>
      <c r="I383" s="23">
        <v>600</v>
      </c>
    </row>
    <row r="384" spans="1:10">
      <c r="A384" s="2">
        <v>242202</v>
      </c>
      <c r="B384" s="7" t="s">
        <v>4</v>
      </c>
      <c r="C384" s="3" t="str">
        <f>VLOOKUP(B384,'Accounts chart'!$A:$B,2,FALSE)</f>
        <v>ลูกหนี้ค่าส่วนกลาง</v>
      </c>
      <c r="D384" t="s">
        <v>733</v>
      </c>
      <c r="E384" t="s">
        <v>570</v>
      </c>
      <c r="F384" t="s">
        <v>107</v>
      </c>
      <c r="G384" t="str">
        <f>VLOOKUP(F384,รายชื่อลูกบ้าน!$A:$B,2,FALSE)</f>
        <v>คุณอนันต์ แจ่มจันทร์</v>
      </c>
      <c r="H384" t="s">
        <v>385</v>
      </c>
      <c r="J384" s="23">
        <v>600</v>
      </c>
    </row>
    <row r="385" spans="1:10">
      <c r="A385" s="2"/>
      <c r="C385" s="3"/>
    </row>
    <row r="386" spans="1:10">
      <c r="A386" s="25">
        <v>242209</v>
      </c>
      <c r="B386" s="26" t="s">
        <v>3</v>
      </c>
      <c r="C386" s="27" t="str">
        <f>VLOOKUP(B386,'Accounts chart'!$A:$B,2,FALSE)</f>
        <v>ธนาคารกสิกรไทย SA-040-1-56500-0</v>
      </c>
      <c r="D386" s="4" t="s">
        <v>734</v>
      </c>
      <c r="E386" s="4" t="s">
        <v>571</v>
      </c>
      <c r="F386" s="4"/>
      <c r="G386" s="4" t="e">
        <f>VLOOKUP(F386,รายชื่อลูกบ้าน!$A:$B,2,FALSE)</f>
        <v>#N/A</v>
      </c>
      <c r="H386" s="4" t="s">
        <v>420</v>
      </c>
      <c r="I386" s="28">
        <v>3000</v>
      </c>
      <c r="J386" s="28"/>
    </row>
    <row r="387" spans="1:10">
      <c r="A387" s="25">
        <v>242209</v>
      </c>
      <c r="B387" s="26" t="s">
        <v>26</v>
      </c>
      <c r="C387" s="27" t="str">
        <f>VLOOKUP(B387,'Accounts chart'!$A:$B,2,FALSE)</f>
        <v>รายได้ค่าส่วนกลางไม่ทราบชือ</v>
      </c>
      <c r="D387" s="4" t="s">
        <v>734</v>
      </c>
      <c r="E387" s="4" t="s">
        <v>571</v>
      </c>
      <c r="F387" s="4"/>
      <c r="G387" s="4" t="e">
        <f>VLOOKUP(F387,รายชื่อลูกบ้าน!$A:$B,2,FALSE)</f>
        <v>#N/A</v>
      </c>
      <c r="H387" s="4" t="s">
        <v>420</v>
      </c>
      <c r="I387" s="28"/>
      <c r="J387" s="28">
        <v>3000</v>
      </c>
    </row>
    <row r="388" spans="1:10">
      <c r="A388" s="2"/>
      <c r="C388" s="3"/>
      <c r="I388" s="20"/>
      <c r="J388" s="20"/>
    </row>
    <row r="389" spans="1:10">
      <c r="A389" s="2">
        <v>242210</v>
      </c>
      <c r="B389" s="7" t="s">
        <v>2</v>
      </c>
      <c r="C389" s="3" t="str">
        <f>VLOOKUP(B389,'Accounts chart'!$A:$B,2,FALSE)</f>
        <v>ธนาคารกสิกรไทย CA-040-1-57563-4</v>
      </c>
      <c r="D389" t="s">
        <v>923</v>
      </c>
      <c r="H389" t="s">
        <v>788</v>
      </c>
      <c r="I389" s="20">
        <v>200000</v>
      </c>
      <c r="J389" s="20"/>
    </row>
    <row r="390" spans="1:10">
      <c r="A390" s="2">
        <v>242210</v>
      </c>
      <c r="B390" s="7" t="s">
        <v>3</v>
      </c>
      <c r="C390" s="3" t="str">
        <f>VLOOKUP(B390,'Accounts chart'!$A:$B,2,FALSE)</f>
        <v>ธนาคารกสิกรไทย SA-040-1-56500-0</v>
      </c>
      <c r="D390" t="s">
        <v>923</v>
      </c>
      <c r="H390" t="s">
        <v>788</v>
      </c>
      <c r="I390" s="20"/>
      <c r="J390" s="20">
        <v>200000</v>
      </c>
    </row>
    <row r="391" spans="1:10">
      <c r="A391" s="2"/>
      <c r="C391" s="3"/>
      <c r="I391" s="20"/>
      <c r="J391" s="20"/>
    </row>
    <row r="392" spans="1:10">
      <c r="A392" s="2">
        <v>242211</v>
      </c>
      <c r="B392" s="7" t="s">
        <v>3</v>
      </c>
      <c r="C392" s="3" t="str">
        <f>VLOOKUP(B392,'Accounts chart'!$A:$B,2,FALSE)</f>
        <v>ธนาคารกสิกรไทย SA-040-1-56500-0</v>
      </c>
      <c r="D392" t="s">
        <v>735</v>
      </c>
      <c r="E392" t="s">
        <v>572</v>
      </c>
      <c r="F392" t="s">
        <v>260</v>
      </c>
      <c r="G392" t="str">
        <f>VLOOKUP(F392,รายชื่อลูกบ้าน!$A:$B,2,FALSE)</f>
        <v>คุณกัญพิสิษฐ์ ธนเกียรติชูโชติ</v>
      </c>
      <c r="H392" t="s">
        <v>421</v>
      </c>
      <c r="I392" s="23">
        <v>2400</v>
      </c>
    </row>
    <row r="393" spans="1:10">
      <c r="A393" s="2">
        <v>242211</v>
      </c>
      <c r="B393" s="7" t="s">
        <v>3</v>
      </c>
      <c r="C393" s="3" t="str">
        <f>VLOOKUP(B393,'Accounts chart'!$A:$B,2,FALSE)</f>
        <v>ธนาคารกสิกรไทย SA-040-1-56500-0</v>
      </c>
      <c r="D393" t="s">
        <v>735</v>
      </c>
      <c r="E393" t="s">
        <v>573</v>
      </c>
      <c r="F393" t="s">
        <v>251</v>
      </c>
      <c r="G393" t="str">
        <f>VLOOKUP(F393,รายชื่อลูกบ้าน!$A:$B,2,FALSE)</f>
        <v>คุณวิบูลย์ ฤทธิ์ทองพิทักษ์</v>
      </c>
      <c r="H393" t="s">
        <v>385</v>
      </c>
      <c r="I393" s="23">
        <v>600</v>
      </c>
    </row>
    <row r="394" spans="1:10">
      <c r="A394" s="2">
        <v>242211</v>
      </c>
      <c r="B394" s="7" t="s">
        <v>4</v>
      </c>
      <c r="C394" s="3" t="str">
        <f>VLOOKUP(B394,'Accounts chart'!$A:$B,2,FALSE)</f>
        <v>ลูกหนี้ค่าส่วนกลาง</v>
      </c>
      <c r="D394" t="s">
        <v>735</v>
      </c>
      <c r="E394" t="s">
        <v>572</v>
      </c>
      <c r="F394" t="s">
        <v>260</v>
      </c>
      <c r="G394" t="str">
        <f>VLOOKUP(F394,รายชื่อลูกบ้าน!$A:$B,2,FALSE)</f>
        <v>คุณกัญพิสิษฐ์ ธนเกียรติชูโชติ</v>
      </c>
      <c r="H394" t="s">
        <v>421</v>
      </c>
      <c r="J394" s="23">
        <v>2400</v>
      </c>
    </row>
    <row r="395" spans="1:10">
      <c r="A395" s="2">
        <v>242211</v>
      </c>
      <c r="B395" s="7" t="s">
        <v>34</v>
      </c>
      <c r="C395" s="3" t="str">
        <f>VLOOKUP(B395,'Accounts chart'!$A:$B,2,FALSE)</f>
        <v>รายรับค่าส่วนกลาง</v>
      </c>
      <c r="D395" t="s">
        <v>735</v>
      </c>
      <c r="E395" t="s">
        <v>573</v>
      </c>
      <c r="F395" t="s">
        <v>251</v>
      </c>
      <c r="G395" t="str">
        <f>VLOOKUP(F395,รายชื่อลูกบ้าน!$A:$B,2,FALSE)</f>
        <v>คุณวิบูลย์ ฤทธิ์ทองพิทักษ์</v>
      </c>
      <c r="H395" t="s">
        <v>385</v>
      </c>
      <c r="J395" s="23">
        <v>600</v>
      </c>
    </row>
    <row r="396" spans="1:10">
      <c r="A396" s="2"/>
      <c r="C396" s="3"/>
      <c r="I396" s="20"/>
      <c r="J396" s="20"/>
    </row>
    <row r="397" spans="1:10">
      <c r="A397" s="2">
        <v>242213</v>
      </c>
      <c r="B397" s="7" t="s">
        <v>20</v>
      </c>
      <c r="C397" s="3" t="str">
        <f>VLOOKUP(B397,'Accounts chart'!$A:$B,2,FALSE)</f>
        <v>ค่าไฟฟ้าค้างจ่าย</v>
      </c>
      <c r="D397" t="s">
        <v>924</v>
      </c>
      <c r="G397" t="s">
        <v>777</v>
      </c>
      <c r="H397" t="s">
        <v>789</v>
      </c>
      <c r="I397" s="20">
        <v>4863.82</v>
      </c>
      <c r="J397" s="20"/>
    </row>
    <row r="398" spans="1:10">
      <c r="A398" s="2">
        <v>242213</v>
      </c>
      <c r="B398" s="7" t="s">
        <v>2</v>
      </c>
      <c r="C398" s="3" t="str">
        <f>VLOOKUP(B398,'Accounts chart'!$A:$B,2,FALSE)</f>
        <v>ธนาคารกสิกรไทย CA-040-1-57563-4</v>
      </c>
      <c r="D398" t="s">
        <v>924</v>
      </c>
      <c r="G398" t="s">
        <v>777</v>
      </c>
      <c r="H398" t="s">
        <v>789</v>
      </c>
      <c r="I398" s="20"/>
      <c r="J398" s="20">
        <v>4863.82</v>
      </c>
    </row>
    <row r="399" spans="1:10">
      <c r="A399" s="2"/>
      <c r="C399" s="3"/>
      <c r="I399" s="20"/>
      <c r="J399" s="20"/>
    </row>
    <row r="400" spans="1:10">
      <c r="A400" s="2">
        <v>242213</v>
      </c>
      <c r="B400" s="7" t="s">
        <v>24</v>
      </c>
      <c r="C400" s="3" t="str">
        <f>VLOOKUP(B400,'Accounts chart'!$A:$B,2,FALSE)</f>
        <v>ค่าบริการทำบัญชีค้างจ่าย</v>
      </c>
      <c r="D400" t="s">
        <v>925</v>
      </c>
      <c r="G400" t="s">
        <v>790</v>
      </c>
      <c r="H400" t="s">
        <v>791</v>
      </c>
      <c r="I400" s="20">
        <v>30125</v>
      </c>
      <c r="J400" s="20"/>
    </row>
    <row r="401" spans="1:10">
      <c r="A401" s="2">
        <v>242213</v>
      </c>
      <c r="B401" s="7" t="s">
        <v>2</v>
      </c>
      <c r="C401" s="3" t="str">
        <f>VLOOKUP(B401,'Accounts chart'!$A:$B,2,FALSE)</f>
        <v>ธนาคารกสิกรไทย CA-040-1-57563-4</v>
      </c>
      <c r="D401" t="s">
        <v>925</v>
      </c>
      <c r="G401" t="s">
        <v>790</v>
      </c>
      <c r="H401" t="s">
        <v>791</v>
      </c>
      <c r="I401" s="20"/>
      <c r="J401" s="20">
        <v>30125</v>
      </c>
    </row>
    <row r="402" spans="1:10">
      <c r="A402" s="2"/>
      <c r="C402" s="3"/>
      <c r="I402" s="20"/>
      <c r="J402" s="20"/>
    </row>
    <row r="403" spans="1:10">
      <c r="A403" s="2">
        <v>242213</v>
      </c>
      <c r="B403" s="7" t="s">
        <v>3</v>
      </c>
      <c r="C403" s="3" t="str">
        <f>VLOOKUP(B403,'Accounts chart'!$A:$B,2,FALSE)</f>
        <v>ธนาคารกสิกรไทย SA-040-1-56500-0</v>
      </c>
      <c r="D403" t="s">
        <v>736</v>
      </c>
      <c r="E403" t="s">
        <v>574</v>
      </c>
      <c r="F403" t="s">
        <v>362</v>
      </c>
      <c r="G403" t="str">
        <f>VLOOKUP(F403,รายชื่อลูกบ้าน!$A:$B,2,FALSE)</f>
        <v>คุณพีรภัทร์ ศัสตราพฤกษ์</v>
      </c>
      <c r="H403" t="s">
        <v>385</v>
      </c>
      <c r="I403" s="20">
        <v>600</v>
      </c>
      <c r="J403" s="20"/>
    </row>
    <row r="404" spans="1:10">
      <c r="A404" s="2">
        <v>242213</v>
      </c>
      <c r="B404" s="7" t="s">
        <v>3</v>
      </c>
      <c r="C404" s="3" t="str">
        <f>VLOOKUP(B404,'Accounts chart'!$A:$B,2,FALSE)</f>
        <v>ธนาคารกสิกรไทย SA-040-1-56500-0</v>
      </c>
      <c r="D404" t="s">
        <v>736</v>
      </c>
      <c r="E404" t="s">
        <v>575</v>
      </c>
      <c r="F404" t="s">
        <v>105</v>
      </c>
      <c r="G404" t="str">
        <f>VLOOKUP(F404,รายชื่อลูกบ้าน!$A:$B,2,FALSE)</f>
        <v>คุณพงษ์พันธ์ หิรินทรานุกูล</v>
      </c>
      <c r="H404" t="s">
        <v>383</v>
      </c>
      <c r="I404" s="23">
        <v>7200.07</v>
      </c>
    </row>
    <row r="405" spans="1:10">
      <c r="A405" s="2">
        <v>242213</v>
      </c>
      <c r="B405" s="7" t="s">
        <v>3</v>
      </c>
      <c r="C405" s="3" t="str">
        <f>VLOOKUP(B405,'Accounts chart'!$A:$B,2,FALSE)</f>
        <v>ธนาคารกสิกรไทย SA-040-1-56500-0</v>
      </c>
      <c r="D405" t="s">
        <v>736</v>
      </c>
      <c r="E405" t="s">
        <v>576</v>
      </c>
      <c r="F405" t="s">
        <v>174</v>
      </c>
      <c r="G405" t="str">
        <f>VLOOKUP(F405,รายชื่อลูกบ้าน!$A:$B,2,FALSE)</f>
        <v>คุณอารักษ์ กัญฑารัตน์</v>
      </c>
      <c r="H405" t="s">
        <v>383</v>
      </c>
      <c r="I405" s="23">
        <v>7200</v>
      </c>
    </row>
    <row r="406" spans="1:10">
      <c r="A406" s="2">
        <v>242213</v>
      </c>
      <c r="B406" s="7" t="s">
        <v>3</v>
      </c>
      <c r="C406" s="3" t="str">
        <f>VLOOKUP(B406,'Accounts chart'!$A:$B,2,FALSE)</f>
        <v>ธนาคารกสิกรไทย SA-040-1-56500-0</v>
      </c>
      <c r="D406" t="s">
        <v>736</v>
      </c>
      <c r="E406" t="s">
        <v>577</v>
      </c>
      <c r="F406" t="s">
        <v>241</v>
      </c>
      <c r="G406" t="str">
        <f>VLOOKUP(F406,รายชื่อลูกบ้าน!$A:$B,2,FALSE)</f>
        <v>คุณสุกิจ หมื่นยศ</v>
      </c>
      <c r="H406" t="s">
        <v>385</v>
      </c>
      <c r="I406" s="23">
        <v>600</v>
      </c>
    </row>
    <row r="407" spans="1:10">
      <c r="A407" s="2">
        <v>242213</v>
      </c>
      <c r="B407" s="7" t="s">
        <v>3</v>
      </c>
      <c r="C407" s="3" t="str">
        <f>VLOOKUP(B407,'Accounts chart'!$A:$B,2,FALSE)</f>
        <v>ธนาคารกสิกรไทย SA-040-1-56500-0</v>
      </c>
      <c r="D407" t="s">
        <v>736</v>
      </c>
      <c r="E407" t="s">
        <v>578</v>
      </c>
      <c r="F407" t="s">
        <v>182</v>
      </c>
      <c r="G407" t="str">
        <f>VLOOKUP(F407,รายชื่อลูกบ้าน!$A:$B,2,FALSE)</f>
        <v>คุณสิระพัชร์ หน่อแก้ว</v>
      </c>
      <c r="H407" t="s">
        <v>385</v>
      </c>
      <c r="I407" s="23">
        <v>600.53</v>
      </c>
    </row>
    <row r="408" spans="1:10">
      <c r="A408" s="2">
        <v>242213</v>
      </c>
      <c r="B408" s="7" t="s">
        <v>3</v>
      </c>
      <c r="C408" s="3" t="str">
        <f>VLOOKUP(B408,'Accounts chart'!$A:$B,2,FALSE)</f>
        <v>ธนาคารกสิกรไทย SA-040-1-56500-0</v>
      </c>
      <c r="D408" t="s">
        <v>736</v>
      </c>
      <c r="E408" t="s">
        <v>579</v>
      </c>
      <c r="F408" t="s">
        <v>267</v>
      </c>
      <c r="G408" t="str">
        <f>VLOOKUP(F408,รายชื่อลูกบ้าน!$A:$B,2,FALSE)</f>
        <v>คุณดนัย ฮาวต่อมแก้ว</v>
      </c>
      <c r="H408" t="s">
        <v>385</v>
      </c>
      <c r="I408" s="23">
        <v>600</v>
      </c>
    </row>
    <row r="409" spans="1:10">
      <c r="A409" s="2">
        <v>242213</v>
      </c>
      <c r="B409" s="7" t="s">
        <v>3</v>
      </c>
      <c r="C409" s="3" t="str">
        <f>VLOOKUP(B409,'Accounts chart'!$A:$B,2,FALSE)</f>
        <v>ธนาคารกสิกรไทย SA-040-1-56500-0</v>
      </c>
      <c r="D409" t="s">
        <v>736</v>
      </c>
      <c r="E409" t="s">
        <v>580</v>
      </c>
      <c r="F409" t="s">
        <v>213</v>
      </c>
      <c r="G409" t="str">
        <f>VLOOKUP(F409,รายชื่อลูกบ้าน!$A:$B,2,FALSE)</f>
        <v>คุณรัฐพล สุวรรณ</v>
      </c>
      <c r="H409" t="s">
        <v>385</v>
      </c>
      <c r="I409" s="23">
        <v>600</v>
      </c>
    </row>
    <row r="410" spans="1:10">
      <c r="A410" s="2">
        <v>242213</v>
      </c>
      <c r="B410" s="7" t="s">
        <v>3</v>
      </c>
      <c r="C410" s="3" t="str">
        <f>VLOOKUP(B410,'Accounts chart'!$A:$B,2,FALSE)</f>
        <v>ธนาคารกสิกรไทย SA-040-1-56500-0</v>
      </c>
      <c r="D410" t="s">
        <v>736</v>
      </c>
      <c r="E410" t="s">
        <v>581</v>
      </c>
      <c r="F410" t="s">
        <v>213</v>
      </c>
      <c r="G410" t="str">
        <f>VLOOKUP(F410,รายชื่อลูกบ้าน!$A:$B,2,FALSE)</f>
        <v>คุณรัฐพล สุวรรณ</v>
      </c>
      <c r="H410" t="s">
        <v>422</v>
      </c>
      <c r="I410" s="23">
        <v>1200</v>
      </c>
    </row>
    <row r="411" spans="1:10">
      <c r="A411" s="2">
        <v>242213</v>
      </c>
      <c r="B411" s="7" t="s">
        <v>34</v>
      </c>
      <c r="C411" s="3" t="str">
        <f>VLOOKUP(B411,'Accounts chart'!$A:$B,2,FALSE)</f>
        <v>รายรับค่าส่วนกลาง</v>
      </c>
      <c r="D411" t="s">
        <v>736</v>
      </c>
      <c r="E411" t="s">
        <v>574</v>
      </c>
      <c r="F411" t="s">
        <v>362</v>
      </c>
      <c r="G411" t="str">
        <f>VLOOKUP(F411,รายชื่อลูกบ้าน!$A:$B,2,FALSE)</f>
        <v>คุณพีรภัทร์ ศัสตราพฤกษ์</v>
      </c>
      <c r="H411" t="s">
        <v>385</v>
      </c>
      <c r="J411" s="23">
        <v>600</v>
      </c>
    </row>
    <row r="412" spans="1:10">
      <c r="A412" s="2">
        <v>242213</v>
      </c>
      <c r="B412" s="7" t="s">
        <v>4</v>
      </c>
      <c r="C412" s="3" t="str">
        <f>VLOOKUP(B412,'Accounts chart'!$A:$B,2,FALSE)</f>
        <v>ลูกหนี้ค่าส่วนกลาง</v>
      </c>
      <c r="D412" t="s">
        <v>736</v>
      </c>
      <c r="E412" t="s">
        <v>575</v>
      </c>
      <c r="F412" t="s">
        <v>105</v>
      </c>
      <c r="G412" t="str">
        <f>VLOOKUP(F412,รายชื่อลูกบ้าน!$A:$B,2,FALSE)</f>
        <v>คุณพงษ์พันธ์ หิรินทรานุกูล</v>
      </c>
      <c r="H412" t="s">
        <v>383</v>
      </c>
      <c r="J412" s="23">
        <v>3000</v>
      </c>
    </row>
    <row r="413" spans="1:10">
      <c r="A413" s="2">
        <v>242213</v>
      </c>
      <c r="B413" s="7" t="s">
        <v>34</v>
      </c>
      <c r="C413" s="3" t="str">
        <f>VLOOKUP(B413,'Accounts chart'!$A:$B,2,FALSE)</f>
        <v>รายรับค่าส่วนกลาง</v>
      </c>
      <c r="D413" t="s">
        <v>736</v>
      </c>
      <c r="E413" t="s">
        <v>575</v>
      </c>
      <c r="F413" t="s">
        <v>105</v>
      </c>
      <c r="G413" t="str">
        <f>VLOOKUP(F413,รายชื่อลูกบ้าน!$A:$B,2,FALSE)</f>
        <v>คุณพงษ์พันธ์ หิรินทรานุกูล</v>
      </c>
      <c r="H413" t="s">
        <v>383</v>
      </c>
      <c r="J413" s="23">
        <f>7200.07-3000</f>
        <v>4200.07</v>
      </c>
    </row>
    <row r="414" spans="1:10">
      <c r="A414" s="2">
        <v>242213</v>
      </c>
      <c r="B414" s="7" t="s">
        <v>394</v>
      </c>
      <c r="C414" s="3" t="str">
        <f>VLOOKUP(B414,'Accounts chart'!$A:$B,2,FALSE)</f>
        <v>ค่าดูแลส่วนกลางรับล่วงหน้า</v>
      </c>
      <c r="D414" t="s">
        <v>736</v>
      </c>
      <c r="E414" t="s">
        <v>576</v>
      </c>
      <c r="F414" t="s">
        <v>174</v>
      </c>
      <c r="G414" t="str">
        <f>VLOOKUP(F414,รายชื่อลูกบ้าน!$A:$B,2,FALSE)</f>
        <v>คุณอารักษ์ กัญฑารัตน์</v>
      </c>
      <c r="J414" s="23">
        <v>200</v>
      </c>
    </row>
    <row r="415" spans="1:10">
      <c r="A415" s="2">
        <v>242213</v>
      </c>
      <c r="B415" s="7" t="s">
        <v>34</v>
      </c>
      <c r="C415" s="3" t="str">
        <f>VLOOKUP(B415,'Accounts chart'!$A:$B,2,FALSE)</f>
        <v>รายรับค่าส่วนกลาง</v>
      </c>
      <c r="D415" t="s">
        <v>736</v>
      </c>
      <c r="E415" t="s">
        <v>576</v>
      </c>
      <c r="F415" t="s">
        <v>174</v>
      </c>
      <c r="G415" t="str">
        <f>VLOOKUP(F415,รายชื่อลูกบ้าน!$A:$B,2,FALSE)</f>
        <v>คุณอารักษ์ กัญฑารัตน์</v>
      </c>
      <c r="H415" t="s">
        <v>383</v>
      </c>
      <c r="J415" s="23">
        <v>7000</v>
      </c>
    </row>
    <row r="416" spans="1:10">
      <c r="A416" s="2">
        <v>242213</v>
      </c>
      <c r="B416" s="7" t="s">
        <v>34</v>
      </c>
      <c r="C416" s="3" t="str">
        <f>VLOOKUP(B416,'Accounts chart'!$A:$B,2,FALSE)</f>
        <v>รายรับค่าส่วนกลาง</v>
      </c>
      <c r="D416" t="s">
        <v>736</v>
      </c>
      <c r="E416" t="s">
        <v>577</v>
      </c>
      <c r="F416" t="s">
        <v>241</v>
      </c>
      <c r="G416" t="str">
        <f>VLOOKUP(F416,รายชื่อลูกบ้าน!$A:$B,2,FALSE)</f>
        <v>คุณสุกิจ หมื่นยศ</v>
      </c>
      <c r="H416" t="s">
        <v>385</v>
      </c>
      <c r="J416" s="23">
        <v>600</v>
      </c>
    </row>
    <row r="417" spans="1:10">
      <c r="A417" s="2">
        <v>242213</v>
      </c>
      <c r="B417" s="7" t="s">
        <v>34</v>
      </c>
      <c r="C417" s="3" t="str">
        <f>VLOOKUP(B417,'Accounts chart'!$A:$B,2,FALSE)</f>
        <v>รายรับค่าส่วนกลาง</v>
      </c>
      <c r="D417" t="s">
        <v>736</v>
      </c>
      <c r="E417" t="s">
        <v>578</v>
      </c>
      <c r="F417" t="s">
        <v>182</v>
      </c>
      <c r="G417" t="str">
        <f>VLOOKUP(F417,รายชื่อลูกบ้าน!$A:$B,2,FALSE)</f>
        <v>คุณสิระพัชร์ หน่อแก้ว</v>
      </c>
      <c r="H417" t="s">
        <v>385</v>
      </c>
      <c r="J417" s="23">
        <v>600.53</v>
      </c>
    </row>
    <row r="418" spans="1:10">
      <c r="A418" s="2">
        <v>242213</v>
      </c>
      <c r="B418" s="7" t="s">
        <v>34</v>
      </c>
      <c r="C418" s="3" t="str">
        <f>VLOOKUP(B418,'Accounts chart'!$A:$B,2,FALSE)</f>
        <v>รายรับค่าส่วนกลาง</v>
      </c>
      <c r="D418" t="s">
        <v>736</v>
      </c>
      <c r="E418" t="s">
        <v>579</v>
      </c>
      <c r="F418" t="s">
        <v>267</v>
      </c>
      <c r="G418" t="str">
        <f>VLOOKUP(F418,รายชื่อลูกบ้าน!$A:$B,2,FALSE)</f>
        <v>คุณดนัย ฮาวต่อมแก้ว</v>
      </c>
      <c r="H418" t="s">
        <v>385</v>
      </c>
      <c r="J418" s="23">
        <v>600</v>
      </c>
    </row>
    <row r="419" spans="1:10">
      <c r="A419" s="2">
        <v>242213</v>
      </c>
      <c r="B419" s="7" t="s">
        <v>34</v>
      </c>
      <c r="C419" s="3" t="str">
        <f>VLOOKUP(B419,'Accounts chart'!$A:$B,2,FALSE)</f>
        <v>รายรับค่าส่วนกลาง</v>
      </c>
      <c r="D419" t="s">
        <v>736</v>
      </c>
      <c r="E419" t="s">
        <v>580</v>
      </c>
      <c r="F419" t="s">
        <v>213</v>
      </c>
      <c r="G419" t="str">
        <f>VLOOKUP(F419,รายชื่อลูกบ้าน!$A:$B,2,FALSE)</f>
        <v>คุณรัฐพล สุวรรณ</v>
      </c>
      <c r="H419" t="s">
        <v>385</v>
      </c>
      <c r="J419" s="23">
        <v>600</v>
      </c>
    </row>
    <row r="420" spans="1:10">
      <c r="A420" s="2">
        <v>242213</v>
      </c>
      <c r="B420" s="7" t="s">
        <v>34</v>
      </c>
      <c r="C420" s="3" t="str">
        <f>VLOOKUP(B420,'Accounts chart'!$A:$B,2,FALSE)</f>
        <v>รายรับค่าส่วนกลาง</v>
      </c>
      <c r="D420" t="s">
        <v>736</v>
      </c>
      <c r="E420" t="s">
        <v>581</v>
      </c>
      <c r="F420" t="s">
        <v>213</v>
      </c>
      <c r="G420" t="str">
        <f>VLOOKUP(F420,รายชื่อลูกบ้าน!$A:$B,2,FALSE)</f>
        <v>คุณรัฐพล สุวรรณ</v>
      </c>
      <c r="H420" t="s">
        <v>422</v>
      </c>
      <c r="J420" s="23">
        <v>1200</v>
      </c>
    </row>
    <row r="421" spans="1:10">
      <c r="A421" s="2"/>
      <c r="C421" s="3"/>
    </row>
    <row r="422" spans="1:10">
      <c r="A422" s="2"/>
      <c r="C422" s="3"/>
    </row>
    <row r="423" spans="1:10">
      <c r="A423" s="2">
        <v>242214</v>
      </c>
      <c r="B423" s="7" t="s">
        <v>3</v>
      </c>
      <c r="C423" s="3" t="str">
        <f>VLOOKUP(B423,'Accounts chart'!$A:$B,2,FALSE)</f>
        <v>ธนาคารกสิกรไทย SA-040-1-56500-0</v>
      </c>
      <c r="D423" t="s">
        <v>737</v>
      </c>
      <c r="E423" t="s">
        <v>582</v>
      </c>
      <c r="F423" t="s">
        <v>156</v>
      </c>
      <c r="G423" t="str">
        <f>VLOOKUP(F423,รายชื่อลูกบ้าน!$A:$B,2,FALSE)</f>
        <v>คุณบุญชู ขาวคม</v>
      </c>
      <c r="H423" t="s">
        <v>423</v>
      </c>
      <c r="I423" s="23">
        <v>3600</v>
      </c>
    </row>
    <row r="424" spans="1:10">
      <c r="A424" s="2">
        <v>242215</v>
      </c>
      <c r="B424" s="7" t="s">
        <v>3</v>
      </c>
      <c r="C424" s="3" t="str">
        <f>VLOOKUP(B424,'Accounts chart'!$A:$B,2,FALSE)</f>
        <v>ธนาคารกสิกรไทย SA-040-1-56500-0</v>
      </c>
      <c r="D424" t="s">
        <v>737</v>
      </c>
      <c r="E424" t="s">
        <v>583</v>
      </c>
      <c r="F424" t="s">
        <v>201</v>
      </c>
      <c r="G424" t="str">
        <f>VLOOKUP(F424,รายชื่อลูกบ้าน!$A:$B,2,FALSE)</f>
        <v>คุณณัฐธีร์ เลิศรัตน์วัฒนา</v>
      </c>
      <c r="H424" t="s">
        <v>385</v>
      </c>
      <c r="I424" s="23">
        <v>600</v>
      </c>
    </row>
    <row r="425" spans="1:10">
      <c r="A425" s="2">
        <v>242215</v>
      </c>
      <c r="B425" s="7" t="s">
        <v>3</v>
      </c>
      <c r="C425" s="3" t="str">
        <f>VLOOKUP(B425,'Accounts chart'!$A:$B,2,FALSE)</f>
        <v>ธนาคารกสิกรไทย SA-040-1-56500-0</v>
      </c>
      <c r="D425" t="s">
        <v>737</v>
      </c>
      <c r="E425" t="s">
        <v>584</v>
      </c>
      <c r="F425" t="s">
        <v>134</v>
      </c>
      <c r="G425" t="str">
        <f>VLOOKUP(F425,รายชื่อลูกบ้าน!$A:$B,2,FALSE)</f>
        <v>คุณอวยชัย ลีขสวัสดิ์</v>
      </c>
      <c r="H425" t="s">
        <v>385</v>
      </c>
      <c r="I425" s="23">
        <v>600</v>
      </c>
    </row>
    <row r="426" spans="1:10">
      <c r="A426" s="2">
        <v>242215</v>
      </c>
      <c r="B426" s="7" t="s">
        <v>3</v>
      </c>
      <c r="C426" s="3" t="str">
        <f>VLOOKUP(B426,'Accounts chart'!$A:$B,2,FALSE)</f>
        <v>ธนาคารกสิกรไทย SA-040-1-56500-0</v>
      </c>
      <c r="D426" t="s">
        <v>737</v>
      </c>
      <c r="E426" t="s">
        <v>585</v>
      </c>
      <c r="F426" t="s">
        <v>173</v>
      </c>
      <c r="G426" t="str">
        <f>VLOOKUP(F426,รายชื่อลูกบ้าน!$A:$B,2,FALSE)</f>
        <v>คุณพิริยะ ทรัพย์เจริญ-คุณเยาวเรศ โกสุมพิทักษ์</v>
      </c>
      <c r="H426" t="s">
        <v>385</v>
      </c>
      <c r="I426" s="23">
        <v>600</v>
      </c>
    </row>
    <row r="427" spans="1:10">
      <c r="A427" s="2">
        <v>242214</v>
      </c>
      <c r="B427" s="7" t="s">
        <v>34</v>
      </c>
      <c r="C427" s="3" t="str">
        <f>VLOOKUP(B427,'Accounts chart'!$A:$B,2,FALSE)</f>
        <v>รายรับค่าส่วนกลาง</v>
      </c>
      <c r="D427" t="s">
        <v>737</v>
      </c>
      <c r="E427" t="s">
        <v>582</v>
      </c>
      <c r="F427" t="s">
        <v>156</v>
      </c>
      <c r="G427" t="str">
        <f>VLOOKUP(F427,รายชื่อลูกบ้าน!$A:$B,2,FALSE)</f>
        <v>คุณบุญชู ขาวคม</v>
      </c>
      <c r="H427" t="s">
        <v>423</v>
      </c>
      <c r="J427" s="23">
        <v>3600</v>
      </c>
    </row>
    <row r="428" spans="1:10">
      <c r="A428" s="2">
        <v>242215</v>
      </c>
      <c r="B428" s="7" t="s">
        <v>34</v>
      </c>
      <c r="C428" s="3" t="str">
        <f>VLOOKUP(B428,'Accounts chart'!$A:$B,2,FALSE)</f>
        <v>รายรับค่าส่วนกลาง</v>
      </c>
      <c r="D428" t="s">
        <v>737</v>
      </c>
      <c r="E428" t="s">
        <v>583</v>
      </c>
      <c r="F428" t="s">
        <v>201</v>
      </c>
      <c r="G428" t="str">
        <f>VLOOKUP(F428,รายชื่อลูกบ้าน!$A:$B,2,FALSE)</f>
        <v>คุณณัฐธีร์ เลิศรัตน์วัฒนา</v>
      </c>
      <c r="H428" t="s">
        <v>385</v>
      </c>
      <c r="J428" s="23">
        <v>600</v>
      </c>
    </row>
    <row r="429" spans="1:10">
      <c r="A429" s="2">
        <v>242215</v>
      </c>
      <c r="B429" s="7" t="s">
        <v>34</v>
      </c>
      <c r="C429" s="3" t="str">
        <f>VLOOKUP(B429,'Accounts chart'!$A:$B,2,FALSE)</f>
        <v>รายรับค่าส่วนกลาง</v>
      </c>
      <c r="D429" t="s">
        <v>737</v>
      </c>
      <c r="E429" t="s">
        <v>584</v>
      </c>
      <c r="F429" t="s">
        <v>134</v>
      </c>
      <c r="G429" t="str">
        <f>VLOOKUP(F429,รายชื่อลูกบ้าน!$A:$B,2,FALSE)</f>
        <v>คุณอวยชัย ลีขสวัสดิ์</v>
      </c>
      <c r="H429" t="s">
        <v>385</v>
      </c>
      <c r="J429" s="23">
        <v>600</v>
      </c>
    </row>
    <row r="430" spans="1:10">
      <c r="A430" s="2">
        <v>242215</v>
      </c>
      <c r="B430" s="7" t="s">
        <v>34</v>
      </c>
      <c r="C430" s="3" t="str">
        <f>VLOOKUP(B430,'Accounts chart'!$A:$B,2,FALSE)</f>
        <v>รายรับค่าส่วนกลาง</v>
      </c>
      <c r="D430" t="s">
        <v>737</v>
      </c>
      <c r="E430" t="s">
        <v>585</v>
      </c>
      <c r="F430" t="s">
        <v>173</v>
      </c>
      <c r="G430" t="str">
        <f>VLOOKUP(F430,รายชื่อลูกบ้าน!$A:$B,2,FALSE)</f>
        <v>คุณพิริยะ ทรัพย์เจริญ-คุณเยาวเรศ โกสุมพิทักษ์</v>
      </c>
      <c r="H430" t="s">
        <v>385</v>
      </c>
      <c r="J430" s="23">
        <v>600</v>
      </c>
    </row>
    <row r="431" spans="1:10">
      <c r="A431" s="2"/>
      <c r="C431" s="3"/>
      <c r="I431" s="20"/>
      <c r="J431" s="20"/>
    </row>
    <row r="432" spans="1:10">
      <c r="A432" s="2">
        <v>242215</v>
      </c>
      <c r="B432" s="7" t="s">
        <v>8</v>
      </c>
      <c r="C432" s="3" t="str">
        <f>VLOOKUP(B432,'Accounts chart'!$A:$B,2,FALSE)</f>
        <v>เงินทดลองจ่าย (สำรองจ่าย)</v>
      </c>
      <c r="D432" t="s">
        <v>926</v>
      </c>
      <c r="G432" t="s">
        <v>792</v>
      </c>
      <c r="H432" t="s">
        <v>793</v>
      </c>
      <c r="I432" s="20">
        <v>10000</v>
      </c>
      <c r="J432" s="20"/>
    </row>
    <row r="433" spans="1:10">
      <c r="A433" s="2">
        <v>242215</v>
      </c>
      <c r="B433" s="7" t="s">
        <v>2</v>
      </c>
      <c r="C433" s="3" t="str">
        <f>VLOOKUP(B433,'Accounts chart'!$A:$B,2,FALSE)</f>
        <v>ธนาคารกสิกรไทย CA-040-1-57563-4</v>
      </c>
      <c r="D433" t="s">
        <v>926</v>
      </c>
      <c r="G433" t="s">
        <v>792</v>
      </c>
      <c r="H433" t="s">
        <v>793</v>
      </c>
      <c r="I433" s="20"/>
      <c r="J433" s="20">
        <v>10000</v>
      </c>
    </row>
    <row r="434" spans="1:10">
      <c r="A434" s="2"/>
      <c r="C434" s="3"/>
      <c r="I434" s="20"/>
      <c r="J434" s="20"/>
    </row>
    <row r="435" spans="1:10">
      <c r="A435" s="2">
        <v>242216</v>
      </c>
      <c r="B435" s="7" t="s">
        <v>3</v>
      </c>
      <c r="C435" s="3" t="str">
        <f>VLOOKUP(B435,'Accounts chart'!$A:$B,2,FALSE)</f>
        <v>ธนาคารกสิกรไทย SA-040-1-56500-0</v>
      </c>
      <c r="D435" t="s">
        <v>738</v>
      </c>
      <c r="E435" t="s">
        <v>586</v>
      </c>
      <c r="F435" t="s">
        <v>323</v>
      </c>
      <c r="G435" t="str">
        <f>VLOOKUP(F435,รายชื่อลูกบ้าน!$A:$B,2,FALSE)</f>
        <v>คุณเกียงไกร ไชยเดช</v>
      </c>
      <c r="H435" t="s">
        <v>385</v>
      </c>
      <c r="I435" s="23">
        <v>600</v>
      </c>
    </row>
    <row r="436" spans="1:10">
      <c r="A436" s="2">
        <v>242216</v>
      </c>
      <c r="B436" s="7" t="s">
        <v>3</v>
      </c>
      <c r="C436" s="3" t="str">
        <f>VLOOKUP(B436,'Accounts chart'!$A:$B,2,FALSE)</f>
        <v>ธนาคารกสิกรไทย SA-040-1-56500-0</v>
      </c>
      <c r="D436" t="s">
        <v>738</v>
      </c>
      <c r="E436" t="s">
        <v>587</v>
      </c>
      <c r="F436" t="s">
        <v>285</v>
      </c>
      <c r="G436" t="str">
        <f>VLOOKUP(F436,รายชื่อลูกบ้าน!$A:$B,2,FALSE)</f>
        <v>คุณประจักษ์ เนื่องละออ-คุณวนิดา เส็งนิสัย</v>
      </c>
      <c r="H436" t="s">
        <v>385</v>
      </c>
      <c r="I436" s="23">
        <v>601.12</v>
      </c>
    </row>
    <row r="437" spans="1:10">
      <c r="A437" s="2">
        <v>242216</v>
      </c>
      <c r="B437" s="7" t="s">
        <v>3</v>
      </c>
      <c r="C437" s="3" t="str">
        <f>VLOOKUP(B437,'Accounts chart'!$A:$B,2,FALSE)</f>
        <v>ธนาคารกสิกรไทย SA-040-1-56500-0</v>
      </c>
      <c r="D437" t="s">
        <v>738</v>
      </c>
      <c r="E437" t="s">
        <v>588</v>
      </c>
      <c r="F437" t="s">
        <v>101</v>
      </c>
      <c r="G437" t="str">
        <f>VLOOKUP(F437,รายชื่อลูกบ้าน!$A:$B,2,FALSE)</f>
        <v>คุณเฉลิมเกียรติ และนางนันริญา ราชนาจันทร์</v>
      </c>
      <c r="H437" t="s">
        <v>385</v>
      </c>
      <c r="I437" s="23">
        <v>600</v>
      </c>
    </row>
    <row r="438" spans="1:10">
      <c r="A438" s="2">
        <v>242216</v>
      </c>
      <c r="B438" s="7" t="s">
        <v>3</v>
      </c>
      <c r="C438" s="3" t="str">
        <f>VLOOKUP(B438,'Accounts chart'!$A:$B,2,FALSE)</f>
        <v>ธนาคารกสิกรไทย SA-040-1-56500-0</v>
      </c>
      <c r="D438" t="s">
        <v>738</v>
      </c>
      <c r="E438" t="s">
        <v>589</v>
      </c>
      <c r="F438" t="s">
        <v>187</v>
      </c>
      <c r="G438" t="str">
        <f>VLOOKUP(F438,รายชื่อลูกบ้าน!$A:$B,2,FALSE)</f>
        <v>นายญัชพล ภู่ถาวร</v>
      </c>
      <c r="H438" t="s">
        <v>424</v>
      </c>
      <c r="I438" s="23">
        <v>600</v>
      </c>
    </row>
    <row r="439" spans="1:10">
      <c r="A439" s="2">
        <v>242216</v>
      </c>
      <c r="B439" s="7" t="s">
        <v>34</v>
      </c>
      <c r="C439" s="3" t="str">
        <f>VLOOKUP(B439,'Accounts chart'!$A:$B,2,FALSE)</f>
        <v>รายรับค่าส่วนกลาง</v>
      </c>
      <c r="D439" t="s">
        <v>738</v>
      </c>
      <c r="E439" t="s">
        <v>586</v>
      </c>
      <c r="F439" t="s">
        <v>323</v>
      </c>
      <c r="G439" t="str">
        <f>VLOOKUP(F439,รายชื่อลูกบ้าน!$A:$B,2,FALSE)</f>
        <v>คุณเกียงไกร ไชยเดช</v>
      </c>
      <c r="H439" t="s">
        <v>385</v>
      </c>
      <c r="J439" s="23">
        <v>600</v>
      </c>
    </row>
    <row r="440" spans="1:10">
      <c r="A440" s="2">
        <v>242216</v>
      </c>
      <c r="B440" s="7" t="s">
        <v>34</v>
      </c>
      <c r="C440" s="3" t="str">
        <f>VLOOKUP(B440,'Accounts chart'!$A:$B,2,FALSE)</f>
        <v>รายรับค่าส่วนกลาง</v>
      </c>
      <c r="D440" t="s">
        <v>738</v>
      </c>
      <c r="E440" t="s">
        <v>587</v>
      </c>
      <c r="F440" t="s">
        <v>285</v>
      </c>
      <c r="G440" t="str">
        <f>VLOOKUP(F440,รายชื่อลูกบ้าน!$A:$B,2,FALSE)</f>
        <v>คุณประจักษ์ เนื่องละออ-คุณวนิดา เส็งนิสัย</v>
      </c>
      <c r="H440" t="s">
        <v>385</v>
      </c>
      <c r="J440" s="23">
        <v>601.12</v>
      </c>
    </row>
    <row r="441" spans="1:10">
      <c r="A441" s="2">
        <v>242216</v>
      </c>
      <c r="B441" s="7" t="s">
        <v>34</v>
      </c>
      <c r="C441" s="3" t="str">
        <f>VLOOKUP(B441,'Accounts chart'!$A:$B,2,FALSE)</f>
        <v>รายรับค่าส่วนกลาง</v>
      </c>
      <c r="D441" t="s">
        <v>738</v>
      </c>
      <c r="E441" t="s">
        <v>588</v>
      </c>
      <c r="F441" t="s">
        <v>101</v>
      </c>
      <c r="G441" t="str">
        <f>VLOOKUP(F441,รายชื่อลูกบ้าน!$A:$B,2,FALSE)</f>
        <v>คุณเฉลิมเกียรติ และนางนันริญา ราชนาจันทร์</v>
      </c>
      <c r="H441" t="s">
        <v>385</v>
      </c>
      <c r="J441" s="23">
        <v>600</v>
      </c>
    </row>
    <row r="442" spans="1:10">
      <c r="A442" s="2">
        <v>242216</v>
      </c>
      <c r="B442" s="7" t="s">
        <v>34</v>
      </c>
      <c r="C442" s="3" t="str">
        <f>VLOOKUP(B442,'Accounts chart'!$A:$B,2,FALSE)</f>
        <v>รายรับค่าส่วนกลาง</v>
      </c>
      <c r="D442" t="s">
        <v>738</v>
      </c>
      <c r="E442" t="s">
        <v>589</v>
      </c>
      <c r="F442" t="s">
        <v>187</v>
      </c>
      <c r="G442" t="str">
        <f>VLOOKUP(F442,รายชื่อลูกบ้าน!$A:$B,2,FALSE)</f>
        <v>นายญัชพล ภู่ถาวร</v>
      </c>
      <c r="H442" t="s">
        <v>424</v>
      </c>
      <c r="J442" s="23">
        <v>600</v>
      </c>
    </row>
    <row r="443" spans="1:10">
      <c r="A443" s="2"/>
      <c r="C443" s="3"/>
    </row>
    <row r="444" spans="1:10">
      <c r="A444" s="2" t="s">
        <v>411</v>
      </c>
      <c r="B444" s="7" t="s">
        <v>3</v>
      </c>
      <c r="C444" s="3" t="str">
        <f>VLOOKUP(B444,'Accounts chart'!$A:$B,2,FALSE)</f>
        <v>ธนาคารกสิกรไทย SA-040-1-56500-0</v>
      </c>
      <c r="D444" t="s">
        <v>739</v>
      </c>
      <c r="E444" t="s">
        <v>590</v>
      </c>
      <c r="F444" t="s">
        <v>195</v>
      </c>
      <c r="G444" t="str">
        <f>VLOOKUP(F444,รายชื่อลูกบ้าน!$A:$B,2,FALSE)</f>
        <v>คุณชานนท์ นนทรังษี</v>
      </c>
      <c r="H444" t="s">
        <v>385</v>
      </c>
      <c r="I444" s="23">
        <v>600</v>
      </c>
    </row>
    <row r="445" spans="1:10">
      <c r="A445" s="2" t="s">
        <v>411</v>
      </c>
      <c r="B445" s="7" t="s">
        <v>3</v>
      </c>
      <c r="C445" s="3" t="str">
        <f>VLOOKUP(B445,'Accounts chart'!$A:$B,2,FALSE)</f>
        <v>ธนาคารกสิกรไทย SA-040-1-56500-0</v>
      </c>
      <c r="D445" t="s">
        <v>739</v>
      </c>
      <c r="E445" t="s">
        <v>591</v>
      </c>
      <c r="F445" t="s">
        <v>143</v>
      </c>
      <c r="G445" t="str">
        <f>VLOOKUP(F445,รายชื่อลูกบ้าน!$A:$B,2,FALSE)</f>
        <v>คุณศิริพร นามวงษ์</v>
      </c>
      <c r="H445" t="s">
        <v>412</v>
      </c>
      <c r="I445" s="23">
        <v>1200</v>
      </c>
    </row>
    <row r="446" spans="1:10">
      <c r="A446" s="2" t="s">
        <v>411</v>
      </c>
      <c r="B446" s="7" t="s">
        <v>3</v>
      </c>
      <c r="C446" s="3" t="str">
        <f>VLOOKUP(B446,'Accounts chart'!$A:$B,2,FALSE)</f>
        <v>ธนาคารกสิกรไทย SA-040-1-56500-0</v>
      </c>
      <c r="D446" t="s">
        <v>739</v>
      </c>
      <c r="E446" t="s">
        <v>592</v>
      </c>
      <c r="F446" t="s">
        <v>364</v>
      </c>
      <c r="G446" t="str">
        <f>VLOOKUP(F446,รายชื่อลูกบ้าน!$A:$B,2,FALSE)</f>
        <v>คุณกิตติ แสวงภาค</v>
      </c>
      <c r="H446" t="s">
        <v>424</v>
      </c>
      <c r="I446" s="23">
        <v>600</v>
      </c>
    </row>
    <row r="447" spans="1:10">
      <c r="A447" s="2" t="s">
        <v>411</v>
      </c>
      <c r="B447" s="7" t="s">
        <v>3</v>
      </c>
      <c r="C447" s="3" t="str">
        <f>VLOOKUP(B447,'Accounts chart'!$A:$B,2,FALSE)</f>
        <v>ธนาคารกสิกรไทย SA-040-1-56500-0</v>
      </c>
      <c r="D447" t="s">
        <v>739</v>
      </c>
      <c r="E447" t="s">
        <v>593</v>
      </c>
      <c r="F447" t="s">
        <v>339</v>
      </c>
      <c r="G447" t="str">
        <f>VLOOKUP(F447,รายชื่อลูกบ้าน!$A:$B,2,FALSE)</f>
        <v>คุณภควัต สันหนองเมือง</v>
      </c>
      <c r="H447" t="s">
        <v>385</v>
      </c>
      <c r="I447" s="23">
        <v>600</v>
      </c>
    </row>
    <row r="448" spans="1:10">
      <c r="A448" s="2" t="s">
        <v>411</v>
      </c>
      <c r="B448" s="7" t="s">
        <v>3</v>
      </c>
      <c r="C448" s="3" t="str">
        <f>VLOOKUP(B448,'Accounts chart'!$A:$B,2,FALSE)</f>
        <v>ธนาคารกสิกรไทย SA-040-1-56500-0</v>
      </c>
      <c r="D448" t="s">
        <v>739</v>
      </c>
      <c r="E448" t="s">
        <v>594</v>
      </c>
      <c r="F448" t="s">
        <v>233</v>
      </c>
      <c r="G448" t="str">
        <f>VLOOKUP(F448,รายชื่อลูกบ้าน!$A:$B,2,FALSE)</f>
        <v>คุณวิทยา วัดเข้าหลาม</v>
      </c>
      <c r="H448" t="s">
        <v>424</v>
      </c>
      <c r="I448" s="23">
        <v>600</v>
      </c>
    </row>
    <row r="449" spans="1:10">
      <c r="A449" s="2" t="s">
        <v>411</v>
      </c>
      <c r="B449" s="7" t="s">
        <v>34</v>
      </c>
      <c r="C449" s="3" t="str">
        <f>VLOOKUP(B449,'Accounts chart'!$A:$B,2,FALSE)</f>
        <v>รายรับค่าส่วนกลาง</v>
      </c>
      <c r="D449" t="s">
        <v>739</v>
      </c>
      <c r="E449" t="s">
        <v>590</v>
      </c>
      <c r="F449" t="s">
        <v>195</v>
      </c>
      <c r="G449" t="str">
        <f>VLOOKUP(F449,รายชื่อลูกบ้าน!$A:$B,2,FALSE)</f>
        <v>คุณชานนท์ นนทรังษี</v>
      </c>
      <c r="H449" t="s">
        <v>385</v>
      </c>
      <c r="J449" s="23">
        <v>600</v>
      </c>
    </row>
    <row r="450" spans="1:10">
      <c r="A450" s="2" t="s">
        <v>411</v>
      </c>
      <c r="B450" s="7" t="s">
        <v>34</v>
      </c>
      <c r="C450" s="3" t="str">
        <f>VLOOKUP(B450,'Accounts chart'!$A:$B,2,FALSE)</f>
        <v>รายรับค่าส่วนกลาง</v>
      </c>
      <c r="D450" t="s">
        <v>739</v>
      </c>
      <c r="E450" t="s">
        <v>591</v>
      </c>
      <c r="F450" t="s">
        <v>143</v>
      </c>
      <c r="G450" t="str">
        <f>VLOOKUP(F450,รายชื่อลูกบ้าน!$A:$B,2,FALSE)</f>
        <v>คุณศิริพร นามวงษ์</v>
      </c>
      <c r="H450" t="s">
        <v>412</v>
      </c>
      <c r="J450" s="23">
        <v>1200</v>
      </c>
    </row>
    <row r="451" spans="1:10">
      <c r="A451" s="2" t="s">
        <v>411</v>
      </c>
      <c r="B451" s="7" t="s">
        <v>34</v>
      </c>
      <c r="C451" s="3" t="str">
        <f>VLOOKUP(B451,'Accounts chart'!$A:$B,2,FALSE)</f>
        <v>รายรับค่าส่วนกลาง</v>
      </c>
      <c r="D451" t="s">
        <v>739</v>
      </c>
      <c r="E451" t="s">
        <v>592</v>
      </c>
      <c r="F451" t="s">
        <v>364</v>
      </c>
      <c r="G451" t="str">
        <f>VLOOKUP(F451,รายชื่อลูกบ้าน!$A:$B,2,FALSE)</f>
        <v>คุณกิตติ แสวงภาค</v>
      </c>
      <c r="H451" t="s">
        <v>424</v>
      </c>
      <c r="J451" s="23">
        <v>600</v>
      </c>
    </row>
    <row r="452" spans="1:10">
      <c r="A452" s="2" t="s">
        <v>411</v>
      </c>
      <c r="B452" s="7" t="s">
        <v>34</v>
      </c>
      <c r="C452" s="3" t="str">
        <f>VLOOKUP(B452,'Accounts chart'!$A:$B,2,FALSE)</f>
        <v>รายรับค่าส่วนกลาง</v>
      </c>
      <c r="D452" t="s">
        <v>739</v>
      </c>
      <c r="E452" t="s">
        <v>593</v>
      </c>
      <c r="F452" t="s">
        <v>339</v>
      </c>
      <c r="G452" t="str">
        <f>VLOOKUP(F452,รายชื่อลูกบ้าน!$A:$B,2,FALSE)</f>
        <v>คุณภควัต สันหนองเมือง</v>
      </c>
      <c r="H452" t="s">
        <v>385</v>
      </c>
      <c r="J452" s="23">
        <v>600</v>
      </c>
    </row>
    <row r="453" spans="1:10">
      <c r="A453" s="2" t="s">
        <v>411</v>
      </c>
      <c r="B453" s="7" t="s">
        <v>34</v>
      </c>
      <c r="C453" s="3" t="str">
        <f>VLOOKUP(B453,'Accounts chart'!$A:$B,2,FALSE)</f>
        <v>รายรับค่าส่วนกลาง</v>
      </c>
      <c r="D453" t="s">
        <v>739</v>
      </c>
      <c r="E453" t="s">
        <v>594</v>
      </c>
      <c r="F453" t="s">
        <v>233</v>
      </c>
      <c r="G453" t="str">
        <f>VLOOKUP(F453,รายชื่อลูกบ้าน!$A:$B,2,FALSE)</f>
        <v>คุณวิทยา วัดเข้าหลาม</v>
      </c>
      <c r="H453" t="s">
        <v>424</v>
      </c>
      <c r="J453" s="23">
        <v>600</v>
      </c>
    </row>
    <row r="455" spans="1:10">
      <c r="A455" s="2" t="s">
        <v>411</v>
      </c>
      <c r="B455" s="7" t="s">
        <v>46</v>
      </c>
      <c r="C455" s="3" t="str">
        <f>VLOOKUP(B455,'Accounts chart'!$A:$B,2,FALSE)</f>
        <v>ค่าดูแลส่วนกลาง</v>
      </c>
      <c r="D455" t="s">
        <v>961</v>
      </c>
      <c r="H455" t="s">
        <v>964</v>
      </c>
      <c r="I455" s="23">
        <v>15000</v>
      </c>
    </row>
    <row r="456" spans="1:10">
      <c r="A456" s="2" t="s">
        <v>411</v>
      </c>
      <c r="B456" s="7" t="s">
        <v>48</v>
      </c>
      <c r="C456" s="3" t="str">
        <f>VLOOKUP(B456,'Accounts chart'!$A:$B,2,FALSE)</f>
        <v>ค่ารักษาความปลอดภัย</v>
      </c>
      <c r="D456" t="s">
        <v>961</v>
      </c>
      <c r="H456" t="s">
        <v>964</v>
      </c>
      <c r="I456" s="23">
        <v>38814.32</v>
      </c>
    </row>
    <row r="457" spans="1:10">
      <c r="A457" s="2" t="s">
        <v>411</v>
      </c>
      <c r="B457" s="7" t="s">
        <v>50</v>
      </c>
      <c r="C457" s="3" t="str">
        <f>VLOOKUP(B457,'Accounts chart'!$A:$B,2,FALSE)</f>
        <v>ค่าเก็บขยะ</v>
      </c>
      <c r="D457" t="s">
        <v>961</v>
      </c>
      <c r="H457" t="s">
        <v>964</v>
      </c>
      <c r="I457" s="23">
        <v>3000</v>
      </c>
    </row>
    <row r="458" spans="1:10">
      <c r="A458" s="2" t="s">
        <v>411</v>
      </c>
      <c r="B458" s="7" t="s">
        <v>52</v>
      </c>
      <c r="C458" s="3" t="str">
        <f>VLOOKUP(B458,'Accounts chart'!$A:$B,2,FALSE)</f>
        <v>ค่าบริการดูแลสระว่ายน้ำ</v>
      </c>
      <c r="D458" t="s">
        <v>961</v>
      </c>
      <c r="H458" t="s">
        <v>964</v>
      </c>
      <c r="I458" s="23">
        <v>7500</v>
      </c>
    </row>
    <row r="459" spans="1:10">
      <c r="A459" s="2" t="s">
        <v>411</v>
      </c>
      <c r="B459" s="7" t="s">
        <v>54</v>
      </c>
      <c r="C459" s="3" t="str">
        <f>VLOOKUP(B459,'Accounts chart'!$A:$B,2,FALSE)</f>
        <v>ค่าไฟฟ้า</v>
      </c>
      <c r="D459" t="s">
        <v>961</v>
      </c>
      <c r="H459" t="s">
        <v>964</v>
      </c>
      <c r="I459" s="23">
        <v>5769.34</v>
      </c>
    </row>
    <row r="460" spans="1:10">
      <c r="A460" s="2" t="s">
        <v>411</v>
      </c>
      <c r="B460" s="7" t="s">
        <v>22</v>
      </c>
      <c r="C460" s="3" t="str">
        <f>VLOOKUP(B460,'Accounts chart'!$A:$B,2,FALSE)</f>
        <v>ค่าดูแลส่วนกลางค้างจ่าย</v>
      </c>
      <c r="D460" t="s">
        <v>961</v>
      </c>
      <c r="H460" t="s">
        <v>964</v>
      </c>
      <c r="J460" s="23">
        <v>15000</v>
      </c>
    </row>
    <row r="461" spans="1:10">
      <c r="A461" s="2" t="s">
        <v>411</v>
      </c>
      <c r="B461" s="7" t="s">
        <v>18</v>
      </c>
      <c r="C461" s="3" t="str">
        <f>VLOOKUP(B461,'Accounts chart'!$A:$B,2,FALSE)</f>
        <v>ค่ารักษาความปลอดภัยค้างจ่าย</v>
      </c>
      <c r="D461" t="s">
        <v>961</v>
      </c>
      <c r="H461" t="s">
        <v>964</v>
      </c>
      <c r="J461" s="23">
        <v>38814.32</v>
      </c>
    </row>
    <row r="462" spans="1:10">
      <c r="A462" s="2" t="s">
        <v>411</v>
      </c>
      <c r="B462" s="7" t="s">
        <v>14</v>
      </c>
      <c r="C462" s="3" t="str">
        <f>VLOOKUP(B462,'Accounts chart'!$A:$B,2,FALSE)</f>
        <v>ค่าเก็บขยะค้างจ่าย</v>
      </c>
      <c r="D462" t="s">
        <v>961</v>
      </c>
      <c r="H462" t="s">
        <v>964</v>
      </c>
      <c r="J462" s="23">
        <v>3000</v>
      </c>
    </row>
    <row r="463" spans="1:10">
      <c r="A463" s="2" t="s">
        <v>411</v>
      </c>
      <c r="B463" s="7" t="s">
        <v>16</v>
      </c>
      <c r="C463" s="3" t="str">
        <f>VLOOKUP(B463,'Accounts chart'!$A:$B,2,FALSE)</f>
        <v>ค่าบริการดูแลสระว่ายน้ำค้างจ่าย</v>
      </c>
      <c r="D463" t="s">
        <v>961</v>
      </c>
      <c r="H463" t="s">
        <v>964</v>
      </c>
      <c r="J463" s="23">
        <v>7500</v>
      </c>
    </row>
    <row r="464" spans="1:10">
      <c r="A464" s="2" t="s">
        <v>411</v>
      </c>
      <c r="B464" s="7" t="s">
        <v>20</v>
      </c>
      <c r="C464" s="3" t="str">
        <f>VLOOKUP(B464,'Accounts chart'!$A:$B,2,FALSE)</f>
        <v>ค่าไฟฟ้าค้างจ่าย</v>
      </c>
      <c r="D464" t="s">
        <v>961</v>
      </c>
      <c r="H464" t="s">
        <v>964</v>
      </c>
      <c r="J464" s="23">
        <v>5769.34</v>
      </c>
    </row>
    <row r="465" spans="1:10">
      <c r="A465" s="2"/>
      <c r="C465" s="3"/>
    </row>
    <row r="466" spans="1:10">
      <c r="A466" s="2" t="s">
        <v>411</v>
      </c>
      <c r="B466" s="7" t="s">
        <v>3</v>
      </c>
      <c r="C466" s="3" t="str">
        <f>VLOOKUP(B466,'Accounts chart'!$A:$B,2,FALSE)</f>
        <v>ธนาคารกสิกรไทย SA-040-1-56500-0</v>
      </c>
      <c r="D466" t="s">
        <v>980</v>
      </c>
      <c r="H466" t="s">
        <v>973</v>
      </c>
      <c r="I466" s="23">
        <v>5000</v>
      </c>
    </row>
    <row r="467" spans="1:10">
      <c r="A467" s="2" t="s">
        <v>411</v>
      </c>
      <c r="B467" s="7" t="s">
        <v>0</v>
      </c>
      <c r="C467" s="3" t="str">
        <f>VLOOKUP(B467,'Accounts chart'!$A:$B,2,FALSE)</f>
        <v>เงินสด</v>
      </c>
      <c r="D467" t="s">
        <v>980</v>
      </c>
      <c r="H467" t="s">
        <v>973</v>
      </c>
      <c r="J467" s="23">
        <v>5000</v>
      </c>
    </row>
    <row r="468" spans="1:10">
      <c r="A468" s="2"/>
      <c r="C468" s="3"/>
    </row>
    <row r="469" spans="1:10">
      <c r="A469" s="2"/>
      <c r="C469" s="3"/>
    </row>
    <row r="471" spans="1:10">
      <c r="A471" s="2">
        <v>242217</v>
      </c>
      <c r="B471" s="7" t="s">
        <v>3</v>
      </c>
      <c r="C471" s="3" t="str">
        <f>VLOOKUP(B471,'Accounts chart'!$A:$B,2,FALSE)</f>
        <v>ธนาคารกสิกรไทย SA-040-1-56500-0</v>
      </c>
      <c r="D471" t="s">
        <v>740</v>
      </c>
      <c r="E471" t="s">
        <v>595</v>
      </c>
      <c r="F471" t="s">
        <v>109</v>
      </c>
      <c r="G471" t="str">
        <f>VLOOKUP(F471,รายชื่อลูกบ้าน!$A:$B,2,FALSE)</f>
        <v>คุณพัฒนชญา+คุณธิตินันท์ วงค์บุปผา</v>
      </c>
      <c r="H471" t="s">
        <v>424</v>
      </c>
      <c r="I471" s="23">
        <v>600</v>
      </c>
    </row>
    <row r="472" spans="1:10">
      <c r="A472" s="2">
        <v>242217</v>
      </c>
      <c r="B472" s="7" t="s">
        <v>3</v>
      </c>
      <c r="C472" s="3" t="str">
        <f>VLOOKUP(B472,'Accounts chart'!$A:$B,2,FALSE)</f>
        <v>ธนาคารกสิกรไทย SA-040-1-56500-0</v>
      </c>
      <c r="D472" t="s">
        <v>740</v>
      </c>
      <c r="E472" t="s">
        <v>596</v>
      </c>
      <c r="F472" t="s">
        <v>374</v>
      </c>
      <c r="G472" t="str">
        <f>VLOOKUP(F472,รายชื่อลูกบ้าน!$A:$B,2,FALSE)</f>
        <v>คุณเกียรติภูมิ วิรติภูมิ</v>
      </c>
      <c r="H472" t="s">
        <v>424</v>
      </c>
      <c r="I472" s="23">
        <v>600.28</v>
      </c>
    </row>
    <row r="473" spans="1:10">
      <c r="A473" s="2">
        <v>242217</v>
      </c>
      <c r="B473" s="7" t="s">
        <v>3</v>
      </c>
      <c r="C473" s="3" t="str">
        <f>VLOOKUP(B473,'Accounts chart'!$A:$B,2,FALSE)</f>
        <v>ธนาคารกสิกรไทย SA-040-1-56500-0</v>
      </c>
      <c r="D473" t="s">
        <v>740</v>
      </c>
      <c r="E473" t="s">
        <v>597</v>
      </c>
      <c r="F473" t="s">
        <v>319</v>
      </c>
      <c r="G473" t="str">
        <f>VLOOKUP(F473,รายชื่อลูกบ้าน!$A:$B,2,FALSE)</f>
        <v>คุณณัฐพงศ์ สุวรรณมณี</v>
      </c>
      <c r="H473" t="s">
        <v>385</v>
      </c>
      <c r="I473" s="23">
        <v>600</v>
      </c>
    </row>
    <row r="474" spans="1:10">
      <c r="A474" s="2">
        <v>242217</v>
      </c>
      <c r="B474" s="7" t="s">
        <v>3</v>
      </c>
      <c r="C474" s="3" t="str">
        <f>VLOOKUP(B474,'Accounts chart'!$A:$B,2,FALSE)</f>
        <v>ธนาคารกสิกรไทย SA-040-1-56500-0</v>
      </c>
      <c r="D474" t="s">
        <v>740</v>
      </c>
      <c r="E474" t="s">
        <v>598</v>
      </c>
      <c r="F474" t="s">
        <v>161</v>
      </c>
      <c r="G474" t="str">
        <f>VLOOKUP(F474,รายชื่อลูกบ้าน!$A:$B,2,FALSE)</f>
        <v>คุณพงษ์พัฒนา มาบุญ</v>
      </c>
      <c r="H474" t="s">
        <v>385</v>
      </c>
      <c r="I474" s="23">
        <v>600</v>
      </c>
    </row>
    <row r="475" spans="1:10">
      <c r="A475" s="2">
        <v>242217</v>
      </c>
      <c r="B475" s="7" t="s">
        <v>3</v>
      </c>
      <c r="C475" s="3" t="str">
        <f>VLOOKUP(B475,'Accounts chart'!$A:$B,2,FALSE)</f>
        <v>ธนาคารกสิกรไทย SA-040-1-56500-0</v>
      </c>
      <c r="D475" t="s">
        <v>740</v>
      </c>
      <c r="E475" t="s">
        <v>599</v>
      </c>
      <c r="F475" t="s">
        <v>163</v>
      </c>
      <c r="G475" t="str">
        <f>VLOOKUP(F475,รายชื่อลูกบ้าน!$A:$B,2,FALSE)</f>
        <v>คุณสุภาภรณ์ ใจตั้ง</v>
      </c>
      <c r="H475" t="s">
        <v>657</v>
      </c>
      <c r="I475" s="23">
        <v>3600</v>
      </c>
    </row>
    <row r="476" spans="1:10">
      <c r="A476" s="2">
        <v>242217</v>
      </c>
      <c r="B476" s="7" t="s">
        <v>3</v>
      </c>
      <c r="C476" s="3" t="str">
        <f>VLOOKUP(B476,'Accounts chart'!$A:$B,2,FALSE)</f>
        <v>ธนาคารกสิกรไทย SA-040-1-56500-0</v>
      </c>
      <c r="D476" t="s">
        <v>740</v>
      </c>
      <c r="E476" t="s">
        <v>600</v>
      </c>
      <c r="F476" t="s">
        <v>163</v>
      </c>
      <c r="G476" t="str">
        <f>VLOOKUP(F476,รายชื่อลูกบ้าน!$A:$B,2,FALSE)</f>
        <v>คุณสุภาภรณ์ ใจตั้ง</v>
      </c>
      <c r="H476" t="s">
        <v>658</v>
      </c>
      <c r="I476" s="23">
        <v>1800</v>
      </c>
    </row>
    <row r="477" spans="1:10">
      <c r="A477" s="2">
        <v>242217</v>
      </c>
      <c r="B477" s="7" t="s">
        <v>3</v>
      </c>
      <c r="C477" s="3" t="str">
        <f>VLOOKUP(B477,'Accounts chart'!$A:$B,2,FALSE)</f>
        <v>ธนาคารกสิกรไทย SA-040-1-56500-0</v>
      </c>
      <c r="D477" t="s">
        <v>740</v>
      </c>
      <c r="E477" t="s">
        <v>601</v>
      </c>
      <c r="F477" t="s">
        <v>72</v>
      </c>
      <c r="G477" t="str">
        <f>VLOOKUP(F477,รายชื่อลูกบ้าน!$A:$B,2,FALSE)</f>
        <v>คุณวรวุฒิ นาทอง</v>
      </c>
      <c r="H477" t="s">
        <v>385</v>
      </c>
      <c r="I477" s="23">
        <v>600</v>
      </c>
    </row>
    <row r="478" spans="1:10">
      <c r="A478" s="2">
        <v>242217</v>
      </c>
      <c r="B478" s="7" t="s">
        <v>3</v>
      </c>
      <c r="C478" s="3" t="str">
        <f>VLOOKUP(B478,'Accounts chart'!$A:$B,2,FALSE)</f>
        <v>ธนาคารกสิกรไทย SA-040-1-56500-0</v>
      </c>
      <c r="D478" t="s">
        <v>740</v>
      </c>
      <c r="E478" t="s">
        <v>602</v>
      </c>
      <c r="F478" t="s">
        <v>207</v>
      </c>
      <c r="G478" t="str">
        <f>VLOOKUP(F478,รายชื่อลูกบ้าน!$A:$B,2,FALSE)</f>
        <v>คุณกิตติภูมิ กาญจนจิรวงศ์</v>
      </c>
      <c r="H478" t="s">
        <v>385</v>
      </c>
      <c r="I478" s="23">
        <v>600</v>
      </c>
    </row>
    <row r="479" spans="1:10">
      <c r="A479" s="2">
        <v>242217</v>
      </c>
      <c r="B479" s="7" t="s">
        <v>34</v>
      </c>
      <c r="C479" s="3" t="str">
        <f>VLOOKUP(B479,'Accounts chart'!$A:$B,2,FALSE)</f>
        <v>รายรับค่าส่วนกลาง</v>
      </c>
      <c r="D479" t="s">
        <v>740</v>
      </c>
      <c r="E479" t="s">
        <v>595</v>
      </c>
      <c r="F479" t="s">
        <v>109</v>
      </c>
      <c r="G479" t="str">
        <f>VLOOKUP(F479,รายชื่อลูกบ้าน!$A:$B,2,FALSE)</f>
        <v>คุณพัฒนชญา+คุณธิตินันท์ วงค์บุปผา</v>
      </c>
      <c r="H479" t="s">
        <v>424</v>
      </c>
      <c r="J479" s="23">
        <v>600</v>
      </c>
    </row>
    <row r="480" spans="1:10">
      <c r="A480" s="2">
        <v>242217</v>
      </c>
      <c r="B480" s="7" t="s">
        <v>34</v>
      </c>
      <c r="C480" s="3" t="str">
        <f>VLOOKUP(B480,'Accounts chart'!$A:$B,2,FALSE)</f>
        <v>รายรับค่าส่วนกลาง</v>
      </c>
      <c r="D480" t="s">
        <v>740</v>
      </c>
      <c r="E480" t="s">
        <v>596</v>
      </c>
      <c r="F480" t="s">
        <v>374</v>
      </c>
      <c r="G480" t="str">
        <f>VLOOKUP(F480,รายชื่อลูกบ้าน!$A:$B,2,FALSE)</f>
        <v>คุณเกียรติภูมิ วิรติภูมิ</v>
      </c>
      <c r="H480" t="s">
        <v>424</v>
      </c>
      <c r="J480" s="23">
        <v>600.28</v>
      </c>
    </row>
    <row r="481" spans="1:10">
      <c r="A481" s="2">
        <v>242217</v>
      </c>
      <c r="B481" s="7" t="s">
        <v>34</v>
      </c>
      <c r="C481" s="3" t="str">
        <f>VLOOKUP(B481,'Accounts chart'!$A:$B,2,FALSE)</f>
        <v>รายรับค่าส่วนกลาง</v>
      </c>
      <c r="D481" t="s">
        <v>740</v>
      </c>
      <c r="E481" t="s">
        <v>597</v>
      </c>
      <c r="F481" t="s">
        <v>319</v>
      </c>
      <c r="G481" t="str">
        <f>VLOOKUP(F481,รายชื่อลูกบ้าน!$A:$B,2,FALSE)</f>
        <v>คุณณัฐพงศ์ สุวรรณมณี</v>
      </c>
      <c r="H481" t="s">
        <v>385</v>
      </c>
      <c r="J481" s="23">
        <v>600</v>
      </c>
    </row>
    <row r="482" spans="1:10">
      <c r="A482" s="2">
        <v>242217</v>
      </c>
      <c r="B482" s="7" t="s">
        <v>34</v>
      </c>
      <c r="C482" s="3" t="str">
        <f>VLOOKUP(B482,'Accounts chart'!$A:$B,2,FALSE)</f>
        <v>รายรับค่าส่วนกลาง</v>
      </c>
      <c r="D482" t="s">
        <v>740</v>
      </c>
      <c r="E482" t="s">
        <v>598</v>
      </c>
      <c r="F482" t="s">
        <v>161</v>
      </c>
      <c r="G482" t="str">
        <f>VLOOKUP(F482,รายชื่อลูกบ้าน!$A:$B,2,FALSE)</f>
        <v>คุณพงษ์พัฒนา มาบุญ</v>
      </c>
      <c r="H482" t="s">
        <v>385</v>
      </c>
      <c r="J482" s="23">
        <v>600</v>
      </c>
    </row>
    <row r="483" spans="1:10">
      <c r="A483" s="2">
        <v>242217</v>
      </c>
      <c r="B483" s="7" t="s">
        <v>4</v>
      </c>
      <c r="C483" s="3" t="str">
        <f>VLOOKUP(B483,'Accounts chart'!$A:$B,2,FALSE)</f>
        <v>ลูกหนี้ค่าส่วนกลาง</v>
      </c>
      <c r="D483" t="s">
        <v>740</v>
      </c>
      <c r="E483" t="s">
        <v>599</v>
      </c>
      <c r="F483" t="s">
        <v>163</v>
      </c>
      <c r="G483" t="str">
        <f>VLOOKUP(F483,รายชื่อลูกบ้าน!$A:$B,2,FALSE)</f>
        <v>คุณสุภาภรณ์ ใจตั้ง</v>
      </c>
      <c r="H483" t="s">
        <v>657</v>
      </c>
      <c r="J483" s="23">
        <v>3600</v>
      </c>
    </row>
    <row r="484" spans="1:10">
      <c r="A484" s="2">
        <v>242217</v>
      </c>
      <c r="B484" s="7" t="s">
        <v>34</v>
      </c>
      <c r="C484" s="3" t="str">
        <f>VLOOKUP(B484,'Accounts chart'!$A:$B,2,FALSE)</f>
        <v>รายรับค่าส่วนกลาง</v>
      </c>
      <c r="D484" t="s">
        <v>740</v>
      </c>
      <c r="E484" t="s">
        <v>600</v>
      </c>
      <c r="F484" t="s">
        <v>163</v>
      </c>
      <c r="G484" t="str">
        <f>VLOOKUP(F484,รายชื่อลูกบ้าน!$A:$B,2,FALSE)</f>
        <v>คุณสุภาภรณ์ ใจตั้ง</v>
      </c>
      <c r="H484" t="s">
        <v>658</v>
      </c>
      <c r="J484" s="23">
        <v>1800</v>
      </c>
    </row>
    <row r="485" spans="1:10">
      <c r="A485" s="2">
        <v>242217</v>
      </c>
      <c r="B485" s="7" t="s">
        <v>34</v>
      </c>
      <c r="C485" s="3" t="str">
        <f>VLOOKUP(B485,'Accounts chart'!$A:$B,2,FALSE)</f>
        <v>รายรับค่าส่วนกลาง</v>
      </c>
      <c r="D485" t="s">
        <v>740</v>
      </c>
      <c r="E485" t="s">
        <v>601</v>
      </c>
      <c r="F485" t="s">
        <v>72</v>
      </c>
      <c r="G485" t="str">
        <f>VLOOKUP(F485,รายชื่อลูกบ้าน!$A:$B,2,FALSE)</f>
        <v>คุณวรวุฒิ นาทอง</v>
      </c>
      <c r="H485" t="s">
        <v>385</v>
      </c>
      <c r="J485" s="23">
        <v>600</v>
      </c>
    </row>
    <row r="486" spans="1:10">
      <c r="A486" s="2">
        <v>242217</v>
      </c>
      <c r="B486" s="7" t="s">
        <v>34</v>
      </c>
      <c r="C486" s="3" t="str">
        <f>VLOOKUP(B486,'Accounts chart'!$A:$B,2,FALSE)</f>
        <v>รายรับค่าส่วนกลาง</v>
      </c>
      <c r="D486" t="s">
        <v>740</v>
      </c>
      <c r="E486" t="s">
        <v>602</v>
      </c>
      <c r="F486" t="s">
        <v>207</v>
      </c>
      <c r="G486" t="str">
        <f>VLOOKUP(F486,รายชื่อลูกบ้าน!$A:$B,2,FALSE)</f>
        <v>คุณกิตติภูมิ กาญจนจิรวงศ์</v>
      </c>
      <c r="H486" t="s">
        <v>385</v>
      </c>
      <c r="J486" s="23">
        <v>600</v>
      </c>
    </row>
    <row r="487" spans="1:10">
      <c r="A487" s="2"/>
      <c r="C487" s="3"/>
    </row>
    <row r="488" spans="1:10">
      <c r="A488" s="2">
        <v>242217</v>
      </c>
      <c r="B488" s="7" t="s">
        <v>3</v>
      </c>
      <c r="C488" s="3" t="str">
        <f>VLOOKUP(B488,'Accounts chart'!$A:$B,2,FALSE)</f>
        <v>ธนาคารกสิกรไทย SA-040-1-56500-0</v>
      </c>
      <c r="D488" t="s">
        <v>741</v>
      </c>
      <c r="E488" t="s">
        <v>608</v>
      </c>
      <c r="F488" t="s">
        <v>255</v>
      </c>
      <c r="G488" t="str">
        <f>VLOOKUP(F488,รายชื่อลูกบ้าน!$A:$B,2,FALSE)</f>
        <v>คุณไชยยันต์ แก้วบุญศรี</v>
      </c>
      <c r="H488" t="s">
        <v>424</v>
      </c>
      <c r="I488" s="23">
        <v>600</v>
      </c>
    </row>
    <row r="489" spans="1:10">
      <c r="A489" s="2">
        <v>242217</v>
      </c>
      <c r="B489" s="7" t="s">
        <v>34</v>
      </c>
      <c r="C489" s="3" t="str">
        <f>VLOOKUP(B489,'Accounts chart'!$A:$B,2,FALSE)</f>
        <v>รายรับค่าส่วนกลาง</v>
      </c>
      <c r="D489" t="s">
        <v>741</v>
      </c>
      <c r="E489" t="s">
        <v>608</v>
      </c>
      <c r="F489" t="s">
        <v>255</v>
      </c>
      <c r="G489" t="str">
        <f>VLOOKUP(F489,รายชื่อลูกบ้าน!$A:$B,2,FALSE)</f>
        <v>คุณไชยยันต์ แก้วบุญศรี</v>
      </c>
      <c r="H489" t="s">
        <v>424</v>
      </c>
      <c r="J489" s="23">
        <v>600</v>
      </c>
    </row>
    <row r="490" spans="1:10">
      <c r="A490" s="2"/>
      <c r="C490" s="3"/>
    </row>
    <row r="491" spans="1:10">
      <c r="A491" s="2">
        <v>242218</v>
      </c>
      <c r="B491" s="7" t="s">
        <v>3</v>
      </c>
      <c r="C491" s="3" t="str">
        <f>VLOOKUP(B491,'Accounts chart'!$A:$B,2,FALSE)</f>
        <v>ธนาคารกสิกรไทย SA-040-1-56500-0</v>
      </c>
      <c r="D491" t="s">
        <v>742</v>
      </c>
      <c r="E491" t="s">
        <v>603</v>
      </c>
      <c r="F491" t="s">
        <v>329</v>
      </c>
      <c r="G491" t="str">
        <f>VLOOKUP(F491,รายชื่อลูกบ้าน!$A:$B,2,FALSE)</f>
        <v>คุณวัชระ คุนุ</v>
      </c>
      <c r="H491" t="s">
        <v>658</v>
      </c>
      <c r="I491" s="23">
        <v>1800</v>
      </c>
    </row>
    <row r="492" spans="1:10">
      <c r="A492" s="2">
        <v>242218</v>
      </c>
      <c r="B492" s="7" t="s">
        <v>3</v>
      </c>
      <c r="C492" s="3" t="str">
        <f>VLOOKUP(B492,'Accounts chart'!$A:$B,2,FALSE)</f>
        <v>ธนาคารกสิกรไทย SA-040-1-56500-0</v>
      </c>
      <c r="D492" t="s">
        <v>742</v>
      </c>
      <c r="E492" t="s">
        <v>604</v>
      </c>
      <c r="F492" t="s">
        <v>122</v>
      </c>
      <c r="G492" t="str">
        <f>VLOOKUP(F492,รายชื่อลูกบ้าน!$A:$B,2,FALSE)</f>
        <v>คุณศิวกร รัตนประดิษฐ์</v>
      </c>
      <c r="H492" t="s">
        <v>424</v>
      </c>
      <c r="I492" s="23">
        <v>600</v>
      </c>
    </row>
    <row r="493" spans="1:10">
      <c r="A493" s="2">
        <v>242218</v>
      </c>
      <c r="B493" s="7" t="s">
        <v>3</v>
      </c>
      <c r="C493" s="3" t="str">
        <f>VLOOKUP(B493,'Accounts chart'!$A:$B,2,FALSE)</f>
        <v>ธนาคารกสิกรไทย SA-040-1-56500-0</v>
      </c>
      <c r="D493" t="s">
        <v>742</v>
      </c>
      <c r="E493" t="s">
        <v>605</v>
      </c>
      <c r="F493" t="s">
        <v>107</v>
      </c>
      <c r="G493" t="str">
        <f>VLOOKUP(F493,รายชื่อลูกบ้าน!$A:$B,2,FALSE)</f>
        <v>คุณอนันต์ แจ่มจันทร์</v>
      </c>
      <c r="H493" t="s">
        <v>424</v>
      </c>
      <c r="I493" s="23">
        <v>600</v>
      </c>
    </row>
    <row r="494" spans="1:10">
      <c r="A494" s="2">
        <v>242218</v>
      </c>
      <c r="B494" s="7" t="s">
        <v>3</v>
      </c>
      <c r="C494" s="3" t="str">
        <f>VLOOKUP(B494,'Accounts chart'!$A:$B,2,FALSE)</f>
        <v>ธนาคารกสิกรไทย SA-040-1-56500-0</v>
      </c>
      <c r="D494" t="s">
        <v>742</v>
      </c>
      <c r="E494" t="s">
        <v>606</v>
      </c>
      <c r="F494" t="s">
        <v>121</v>
      </c>
      <c r="G494" t="str">
        <f>VLOOKUP(F494,รายชื่อลูกบ้าน!$A:$B,2,FALSE)</f>
        <v>คุณสถิตย์ ปาระพิมพ์</v>
      </c>
      <c r="H494" t="s">
        <v>385</v>
      </c>
      <c r="I494" s="23">
        <v>600</v>
      </c>
    </row>
    <row r="495" spans="1:10">
      <c r="A495" s="2">
        <v>242218</v>
      </c>
      <c r="B495" s="7" t="s">
        <v>3</v>
      </c>
      <c r="C495" s="3" t="str">
        <f>VLOOKUP(B495,'Accounts chart'!$A:$B,2,FALSE)</f>
        <v>ธนาคารกสิกรไทย SA-040-1-56500-0</v>
      </c>
      <c r="D495" t="s">
        <v>742</v>
      </c>
      <c r="E495" t="s">
        <v>607</v>
      </c>
      <c r="F495" t="s">
        <v>225</v>
      </c>
      <c r="G495" t="str">
        <f>VLOOKUP(F495,รายชื่อลูกบ้าน!$A:$B,2,FALSE)</f>
        <v>คุณถวิล เคสา</v>
      </c>
      <c r="H495" t="s">
        <v>424</v>
      </c>
      <c r="I495" s="23">
        <v>600</v>
      </c>
    </row>
    <row r="496" spans="1:10">
      <c r="A496" s="2">
        <v>242218</v>
      </c>
      <c r="B496" s="7" t="s">
        <v>3</v>
      </c>
      <c r="C496" s="3" t="str">
        <f>VLOOKUP(B496,'Accounts chart'!$A:$B,2,FALSE)</f>
        <v>ธนาคารกสิกรไทย SA-040-1-56500-0</v>
      </c>
      <c r="D496" t="s">
        <v>742</v>
      </c>
      <c r="E496" t="s">
        <v>609</v>
      </c>
      <c r="F496" t="s">
        <v>236</v>
      </c>
      <c r="G496" t="str">
        <f>VLOOKUP(F496,รายชื่อลูกบ้าน!$A:$B,2,FALSE)</f>
        <v>คุณพงษ์พิชญ์-คุณชลธิดา บุญศิริ</v>
      </c>
      <c r="H496" t="s">
        <v>385</v>
      </c>
      <c r="I496" s="23">
        <v>600</v>
      </c>
    </row>
    <row r="497" spans="1:10">
      <c r="A497" s="2">
        <v>242218</v>
      </c>
      <c r="B497" s="7" t="s">
        <v>3</v>
      </c>
      <c r="C497" s="3" t="str">
        <f>VLOOKUP(B497,'Accounts chart'!$A:$B,2,FALSE)</f>
        <v>ธนาคารกสิกรไทย SA-040-1-56500-0</v>
      </c>
      <c r="D497" t="s">
        <v>742</v>
      </c>
      <c r="E497" t="s">
        <v>610</v>
      </c>
      <c r="F497" t="s">
        <v>211</v>
      </c>
      <c r="G497" t="str">
        <f>VLOOKUP(F497,รายชื่อลูกบ้าน!$A:$B,2,FALSE)</f>
        <v>คุณธเนศ เอี่ยมเจริญ</v>
      </c>
      <c r="H497" t="s">
        <v>659</v>
      </c>
      <c r="I497" s="23">
        <v>3000</v>
      </c>
    </row>
    <row r="498" spans="1:10">
      <c r="A498" s="2">
        <v>242218</v>
      </c>
      <c r="B498" s="7" t="s">
        <v>34</v>
      </c>
      <c r="C498" s="3" t="str">
        <f>VLOOKUP(B498,'Accounts chart'!$A:$B,2,FALSE)</f>
        <v>รายรับค่าส่วนกลาง</v>
      </c>
      <c r="D498" t="s">
        <v>742</v>
      </c>
      <c r="E498" t="s">
        <v>603</v>
      </c>
      <c r="F498" t="s">
        <v>329</v>
      </c>
      <c r="G498" t="str">
        <f>VLOOKUP(F498,รายชื่อลูกบ้าน!$A:$B,2,FALSE)</f>
        <v>คุณวัชระ คุนุ</v>
      </c>
      <c r="H498" t="s">
        <v>658</v>
      </c>
      <c r="J498" s="23">
        <v>1800</v>
      </c>
    </row>
    <row r="499" spans="1:10">
      <c r="A499" s="2">
        <v>242218</v>
      </c>
      <c r="B499" s="7" t="s">
        <v>34</v>
      </c>
      <c r="C499" s="3" t="str">
        <f>VLOOKUP(B499,'Accounts chart'!$A:$B,2,FALSE)</f>
        <v>รายรับค่าส่วนกลาง</v>
      </c>
      <c r="D499" t="s">
        <v>742</v>
      </c>
      <c r="E499" t="s">
        <v>604</v>
      </c>
      <c r="F499" t="s">
        <v>122</v>
      </c>
      <c r="G499" t="str">
        <f>VLOOKUP(F499,รายชื่อลูกบ้าน!$A:$B,2,FALSE)</f>
        <v>คุณศิวกร รัตนประดิษฐ์</v>
      </c>
      <c r="H499" t="s">
        <v>424</v>
      </c>
      <c r="J499" s="23">
        <v>600</v>
      </c>
    </row>
    <row r="500" spans="1:10">
      <c r="A500" s="2">
        <v>242218</v>
      </c>
      <c r="B500" s="7" t="s">
        <v>34</v>
      </c>
      <c r="C500" s="3" t="str">
        <f>VLOOKUP(B500,'Accounts chart'!$A:$B,2,FALSE)</f>
        <v>รายรับค่าส่วนกลาง</v>
      </c>
      <c r="D500" t="s">
        <v>742</v>
      </c>
      <c r="E500" t="s">
        <v>605</v>
      </c>
      <c r="F500" t="s">
        <v>107</v>
      </c>
      <c r="G500" t="str">
        <f>VLOOKUP(F500,รายชื่อลูกบ้าน!$A:$B,2,FALSE)</f>
        <v>คุณอนันต์ แจ่มจันทร์</v>
      </c>
      <c r="H500" t="s">
        <v>424</v>
      </c>
      <c r="J500" s="23">
        <v>600</v>
      </c>
    </row>
    <row r="501" spans="1:10">
      <c r="A501" s="2">
        <v>242218</v>
      </c>
      <c r="B501" s="7" t="s">
        <v>34</v>
      </c>
      <c r="C501" s="3" t="str">
        <f>VLOOKUP(B501,'Accounts chart'!$A:$B,2,FALSE)</f>
        <v>รายรับค่าส่วนกลาง</v>
      </c>
      <c r="D501" t="s">
        <v>742</v>
      </c>
      <c r="E501" t="s">
        <v>606</v>
      </c>
      <c r="F501" t="s">
        <v>121</v>
      </c>
      <c r="G501" t="str">
        <f>VLOOKUP(F501,รายชื่อลูกบ้าน!$A:$B,2,FALSE)</f>
        <v>คุณสถิตย์ ปาระพิมพ์</v>
      </c>
      <c r="H501" t="s">
        <v>385</v>
      </c>
      <c r="J501" s="23">
        <v>600</v>
      </c>
    </row>
    <row r="502" spans="1:10">
      <c r="A502" s="2">
        <v>242218</v>
      </c>
      <c r="B502" s="7" t="s">
        <v>34</v>
      </c>
      <c r="C502" s="3" t="str">
        <f>VLOOKUP(B502,'Accounts chart'!$A:$B,2,FALSE)</f>
        <v>รายรับค่าส่วนกลาง</v>
      </c>
      <c r="D502" t="s">
        <v>742</v>
      </c>
      <c r="E502" t="s">
        <v>607</v>
      </c>
      <c r="F502" t="s">
        <v>225</v>
      </c>
      <c r="G502" t="str">
        <f>VLOOKUP(F502,รายชื่อลูกบ้าน!$A:$B,2,FALSE)</f>
        <v>คุณถวิล เคสา</v>
      </c>
      <c r="H502" t="s">
        <v>424</v>
      </c>
      <c r="J502" s="23">
        <v>600</v>
      </c>
    </row>
    <row r="503" spans="1:10">
      <c r="A503" s="2">
        <v>242218</v>
      </c>
      <c r="B503" s="7" t="s">
        <v>34</v>
      </c>
      <c r="C503" s="3" t="str">
        <f>VLOOKUP(B503,'Accounts chart'!$A:$B,2,FALSE)</f>
        <v>รายรับค่าส่วนกลาง</v>
      </c>
      <c r="D503" t="s">
        <v>742</v>
      </c>
      <c r="E503" t="s">
        <v>609</v>
      </c>
      <c r="F503" t="s">
        <v>236</v>
      </c>
      <c r="G503" t="str">
        <f>VLOOKUP(F503,รายชื่อลูกบ้าน!$A:$B,2,FALSE)</f>
        <v>คุณพงษ์พิชญ์-คุณชลธิดา บุญศิริ</v>
      </c>
      <c r="H503" t="s">
        <v>385</v>
      </c>
      <c r="J503" s="23">
        <v>600</v>
      </c>
    </row>
    <row r="504" spans="1:10">
      <c r="A504" s="2">
        <v>242218</v>
      </c>
      <c r="B504" s="7" t="s">
        <v>4</v>
      </c>
      <c r="C504" s="3" t="str">
        <f>VLOOKUP(B504,'Accounts chart'!$A:$B,2,FALSE)</f>
        <v>ลูกหนี้ค่าส่วนกลาง</v>
      </c>
      <c r="D504" t="s">
        <v>742</v>
      </c>
      <c r="E504" t="s">
        <v>610</v>
      </c>
      <c r="F504" t="s">
        <v>211</v>
      </c>
      <c r="G504" t="str">
        <f>VLOOKUP(F504,รายชื่อลูกบ้าน!$A:$B,2,FALSE)</f>
        <v>คุณธเนศ เอี่ยมเจริญ</v>
      </c>
      <c r="H504" t="s">
        <v>659</v>
      </c>
      <c r="J504" s="23">
        <v>3000</v>
      </c>
    </row>
    <row r="505" spans="1:10">
      <c r="A505" s="2"/>
      <c r="C505" s="3"/>
    </row>
    <row r="506" spans="1:10">
      <c r="A506" s="2"/>
      <c r="C506" s="3"/>
    </row>
    <row r="507" spans="1:10">
      <c r="A507" s="2">
        <v>242219</v>
      </c>
      <c r="B507" s="7" t="s">
        <v>3</v>
      </c>
      <c r="C507" s="3" t="str">
        <f>VLOOKUP(B507,'Accounts chart'!$A:$B,2,FALSE)</f>
        <v>ธนาคารกสิกรไทย SA-040-1-56500-0</v>
      </c>
      <c r="D507" t="s">
        <v>743</v>
      </c>
      <c r="E507" t="s">
        <v>611</v>
      </c>
      <c r="F507" t="s">
        <v>87</v>
      </c>
      <c r="G507" t="str">
        <f>VLOOKUP(F507,รายชื่อลูกบ้าน!$A:$B,2,FALSE)</f>
        <v>คุณคงกฤษณ์ กาญจนพฤกษ์</v>
      </c>
      <c r="H507" t="s">
        <v>385</v>
      </c>
      <c r="I507" s="23">
        <v>600</v>
      </c>
    </row>
    <row r="508" spans="1:10">
      <c r="A508" s="2">
        <v>242219</v>
      </c>
      <c r="B508" s="7" t="s">
        <v>3</v>
      </c>
      <c r="C508" s="3" t="str">
        <f>VLOOKUP(B508,'Accounts chart'!$A:$B,2,FALSE)</f>
        <v>ธนาคารกสิกรไทย SA-040-1-56500-0</v>
      </c>
      <c r="D508" t="s">
        <v>743</v>
      </c>
      <c r="E508" t="s">
        <v>612</v>
      </c>
      <c r="F508" t="s">
        <v>227</v>
      </c>
      <c r="G508" t="str">
        <f>VLOOKUP(F508,รายชื่อลูกบ้าน!$A:$B,2,FALSE)</f>
        <v>คุณเกียรติชัย การรุ่งเรือง-คุณศศิธร เศียรศิริบัณฑิต</v>
      </c>
      <c r="H508" t="s">
        <v>385</v>
      </c>
      <c r="I508" s="23">
        <v>600</v>
      </c>
    </row>
    <row r="509" spans="1:10">
      <c r="A509" s="2">
        <v>242219</v>
      </c>
      <c r="B509" s="7" t="s">
        <v>3</v>
      </c>
      <c r="C509" s="3" t="str">
        <f>VLOOKUP(B509,'Accounts chart'!$A:$B,2,FALSE)</f>
        <v>ธนาคารกสิกรไทย SA-040-1-56500-0</v>
      </c>
      <c r="D509" t="s">
        <v>743</v>
      </c>
      <c r="E509" t="s">
        <v>613</v>
      </c>
      <c r="F509" t="s">
        <v>167</v>
      </c>
      <c r="G509" t="str">
        <f>VLOOKUP(F509,รายชื่อลูกบ้าน!$A:$B,2,FALSE)</f>
        <v>คุณคฑาวุธ พิมลศรี</v>
      </c>
      <c r="H509" t="s">
        <v>385</v>
      </c>
      <c r="I509" s="23">
        <v>600</v>
      </c>
    </row>
    <row r="510" spans="1:10">
      <c r="A510" s="2">
        <v>242219</v>
      </c>
      <c r="B510" s="7" t="s">
        <v>34</v>
      </c>
      <c r="C510" s="3" t="str">
        <f>VLOOKUP(B510,'Accounts chart'!$A:$B,2,FALSE)</f>
        <v>รายรับค่าส่วนกลาง</v>
      </c>
      <c r="D510" t="s">
        <v>743</v>
      </c>
      <c r="E510" t="s">
        <v>611</v>
      </c>
      <c r="F510" t="s">
        <v>87</v>
      </c>
      <c r="G510" t="str">
        <f>VLOOKUP(F510,รายชื่อลูกบ้าน!$A:$B,2,FALSE)</f>
        <v>คุณคงกฤษณ์ กาญจนพฤกษ์</v>
      </c>
      <c r="H510" t="s">
        <v>385</v>
      </c>
      <c r="J510" s="23">
        <v>600</v>
      </c>
    </row>
    <row r="511" spans="1:10">
      <c r="A511" s="2">
        <v>242219</v>
      </c>
      <c r="B511" s="7" t="s">
        <v>34</v>
      </c>
      <c r="C511" s="3" t="str">
        <f>VLOOKUP(B511,'Accounts chart'!$A:$B,2,FALSE)</f>
        <v>รายรับค่าส่วนกลาง</v>
      </c>
      <c r="D511" t="s">
        <v>743</v>
      </c>
      <c r="E511" t="s">
        <v>612</v>
      </c>
      <c r="F511" t="s">
        <v>227</v>
      </c>
      <c r="G511" t="str">
        <f>VLOOKUP(F511,รายชื่อลูกบ้าน!$A:$B,2,FALSE)</f>
        <v>คุณเกียรติชัย การรุ่งเรือง-คุณศศิธร เศียรศิริบัณฑิต</v>
      </c>
      <c r="H511" t="s">
        <v>385</v>
      </c>
      <c r="J511" s="23">
        <v>600</v>
      </c>
    </row>
    <row r="512" spans="1:10">
      <c r="A512" s="2">
        <v>242219</v>
      </c>
      <c r="B512" s="7" t="s">
        <v>34</v>
      </c>
      <c r="C512" s="3" t="str">
        <f>VLOOKUP(B512,'Accounts chart'!$A:$B,2,FALSE)</f>
        <v>รายรับค่าส่วนกลาง</v>
      </c>
      <c r="D512" t="s">
        <v>743</v>
      </c>
      <c r="E512" t="s">
        <v>613</v>
      </c>
      <c r="F512" t="s">
        <v>167</v>
      </c>
      <c r="G512" t="str">
        <f>VLOOKUP(F512,รายชื่อลูกบ้าน!$A:$B,2,FALSE)</f>
        <v>คุณคฑาวุธ พิมลศรี</v>
      </c>
      <c r="H512" t="s">
        <v>385</v>
      </c>
      <c r="J512" s="23">
        <v>600</v>
      </c>
    </row>
    <row r="513" spans="1:10">
      <c r="A513" s="2"/>
      <c r="C513" s="3"/>
    </row>
    <row r="514" spans="1:10">
      <c r="A514" s="2">
        <v>242220</v>
      </c>
      <c r="B514" s="7" t="s">
        <v>3</v>
      </c>
      <c r="C514" s="3" t="str">
        <f>VLOOKUP(B514,'Accounts chart'!$A:$B,2,FALSE)</f>
        <v>ธนาคารกสิกรไทย SA-040-1-56500-0</v>
      </c>
      <c r="D514" t="s">
        <v>744</v>
      </c>
      <c r="E514" t="s">
        <v>614</v>
      </c>
      <c r="F514" t="s">
        <v>337</v>
      </c>
      <c r="G514" t="str">
        <f>VLOOKUP(F514,รายชื่อลูกบ้าน!$A:$B,2,FALSE)</f>
        <v>คุณพงศกร-คุณปิยะพร ปาเลิง</v>
      </c>
      <c r="H514" t="s">
        <v>424</v>
      </c>
      <c r="I514" s="23">
        <v>600</v>
      </c>
    </row>
    <row r="515" spans="1:10">
      <c r="A515" s="2">
        <v>242220</v>
      </c>
      <c r="B515" s="7" t="s">
        <v>3</v>
      </c>
      <c r="C515" s="3" t="str">
        <f>VLOOKUP(B515,'Accounts chart'!$A:$B,2,FALSE)</f>
        <v>ธนาคารกสิกรไทย SA-040-1-56500-0</v>
      </c>
      <c r="D515" t="s">
        <v>744</v>
      </c>
      <c r="E515" t="s">
        <v>615</v>
      </c>
      <c r="F515" t="s">
        <v>130</v>
      </c>
      <c r="G515" t="str">
        <f>VLOOKUP(F515,รายชื่อลูกบ้าน!$A:$B,2,FALSE)</f>
        <v>คุณสุทัศน์ หรือสุวรรณ-คุณอัญชลี จิตรเอื้อ</v>
      </c>
      <c r="H515" t="s">
        <v>401</v>
      </c>
      <c r="I515" s="23">
        <v>1800</v>
      </c>
    </row>
    <row r="516" spans="1:10">
      <c r="A516" s="2">
        <v>242220</v>
      </c>
      <c r="B516" s="7" t="s">
        <v>3</v>
      </c>
      <c r="C516" s="3" t="str">
        <f>VLOOKUP(B516,'Accounts chart'!$A:$B,2,FALSE)</f>
        <v>ธนาคารกสิกรไทย SA-040-1-56500-0</v>
      </c>
      <c r="D516" t="s">
        <v>744</v>
      </c>
      <c r="E516" t="s">
        <v>616</v>
      </c>
      <c r="F516" t="s">
        <v>185</v>
      </c>
      <c r="G516" t="str">
        <f>VLOOKUP(F516,รายชื่อลูกบ้าน!$A:$B,2,FALSE)</f>
        <v>คุณชาญชัย ตนะศุภผล</v>
      </c>
      <c r="H516" t="s">
        <v>424</v>
      </c>
      <c r="I516" s="23">
        <v>600.54999999999995</v>
      </c>
    </row>
    <row r="517" spans="1:10">
      <c r="A517" s="2">
        <v>242220</v>
      </c>
      <c r="B517" s="7" t="s">
        <v>3</v>
      </c>
      <c r="C517" s="3" t="str">
        <f>VLOOKUP(B517,'Accounts chart'!$A:$B,2,FALSE)</f>
        <v>ธนาคารกสิกรไทย SA-040-1-56500-0</v>
      </c>
      <c r="D517" t="s">
        <v>744</v>
      </c>
      <c r="E517" t="s">
        <v>617</v>
      </c>
      <c r="F517" t="s">
        <v>148</v>
      </c>
      <c r="G517" t="str">
        <f>VLOOKUP(F517,รายชื่อลูกบ้าน!$A:$B,2,FALSE)</f>
        <v>คุณจักรพงศ์ สุขสวัสดิ์</v>
      </c>
      <c r="H517" t="s">
        <v>660</v>
      </c>
      <c r="I517" s="23">
        <v>1200</v>
      </c>
    </row>
    <row r="518" spans="1:10">
      <c r="A518" s="2">
        <v>242220</v>
      </c>
      <c r="B518" s="7" t="s">
        <v>3</v>
      </c>
      <c r="C518" s="3" t="str">
        <f>VLOOKUP(B518,'Accounts chart'!$A:$B,2,FALSE)</f>
        <v>ธนาคารกสิกรไทย SA-040-1-56500-0</v>
      </c>
      <c r="D518" t="s">
        <v>744</v>
      </c>
      <c r="E518" t="s">
        <v>618</v>
      </c>
      <c r="F518" t="s">
        <v>295</v>
      </c>
      <c r="G518" t="str">
        <f>VLOOKUP(F518,รายชื่อลูกบ้าน!$A:$B,2,FALSE)</f>
        <v>คุณภานุรังสิทธิ์-คุณภญาดา หมื่นจันทร์</v>
      </c>
      <c r="H518" t="s">
        <v>424</v>
      </c>
      <c r="I518" s="23">
        <v>600</v>
      </c>
    </row>
    <row r="519" spans="1:10">
      <c r="A519" s="2">
        <v>242220</v>
      </c>
      <c r="B519" s="7" t="s">
        <v>34</v>
      </c>
      <c r="C519" s="3" t="str">
        <f>VLOOKUP(B519,'Accounts chart'!$A:$B,2,FALSE)</f>
        <v>รายรับค่าส่วนกลาง</v>
      </c>
      <c r="D519" t="s">
        <v>744</v>
      </c>
      <c r="E519" t="s">
        <v>614</v>
      </c>
      <c r="F519" t="s">
        <v>337</v>
      </c>
      <c r="G519" t="str">
        <f>VLOOKUP(F519,รายชื่อลูกบ้าน!$A:$B,2,FALSE)</f>
        <v>คุณพงศกร-คุณปิยะพร ปาเลิง</v>
      </c>
      <c r="H519" t="s">
        <v>424</v>
      </c>
      <c r="J519" s="23">
        <v>600</v>
      </c>
    </row>
    <row r="520" spans="1:10">
      <c r="A520" s="2">
        <v>242220</v>
      </c>
      <c r="B520" s="7" t="s">
        <v>34</v>
      </c>
      <c r="C520" s="3" t="str">
        <f>VLOOKUP(B520,'Accounts chart'!$A:$B,2,FALSE)</f>
        <v>รายรับค่าส่วนกลาง</v>
      </c>
      <c r="D520" t="s">
        <v>744</v>
      </c>
      <c r="E520" t="s">
        <v>615</v>
      </c>
      <c r="F520" t="s">
        <v>130</v>
      </c>
      <c r="G520" t="str">
        <f>VLOOKUP(F520,รายชื่อลูกบ้าน!$A:$B,2,FALSE)</f>
        <v>คุณสุทัศน์ หรือสุวรรณ-คุณอัญชลี จิตรเอื้อ</v>
      </c>
      <c r="H520" t="s">
        <v>401</v>
      </c>
      <c r="J520" s="23">
        <v>1800</v>
      </c>
    </row>
    <row r="521" spans="1:10">
      <c r="A521" s="2">
        <v>242220</v>
      </c>
      <c r="B521" s="7" t="s">
        <v>34</v>
      </c>
      <c r="C521" s="3" t="str">
        <f>VLOOKUP(B521,'Accounts chart'!$A:$B,2,FALSE)</f>
        <v>รายรับค่าส่วนกลาง</v>
      </c>
      <c r="D521" t="s">
        <v>744</v>
      </c>
      <c r="E521" t="s">
        <v>616</v>
      </c>
      <c r="F521" t="s">
        <v>185</v>
      </c>
      <c r="G521" t="str">
        <f>VLOOKUP(F521,รายชื่อลูกบ้าน!$A:$B,2,FALSE)</f>
        <v>คุณชาญชัย ตนะศุภผล</v>
      </c>
      <c r="H521" t="s">
        <v>424</v>
      </c>
      <c r="J521" s="23">
        <v>600.54999999999995</v>
      </c>
    </row>
    <row r="522" spans="1:10">
      <c r="A522" s="2">
        <v>242220</v>
      </c>
      <c r="B522" s="7" t="s">
        <v>4</v>
      </c>
      <c r="C522" s="3" t="str">
        <f>VLOOKUP(B522,'Accounts chart'!$A:$B,2,FALSE)</f>
        <v>ลูกหนี้ค่าส่วนกลาง</v>
      </c>
      <c r="D522" t="s">
        <v>744</v>
      </c>
      <c r="E522" t="s">
        <v>617</v>
      </c>
      <c r="F522" t="s">
        <v>148</v>
      </c>
      <c r="G522" t="str">
        <f>VLOOKUP(F522,รายชื่อลูกบ้าน!$A:$B,2,FALSE)</f>
        <v>คุณจักรพงศ์ สุขสวัสดิ์</v>
      </c>
      <c r="H522" t="s">
        <v>660</v>
      </c>
      <c r="J522" s="23">
        <v>1200</v>
      </c>
    </row>
    <row r="523" spans="1:10">
      <c r="A523" s="2">
        <v>242220</v>
      </c>
      <c r="B523" s="7" t="s">
        <v>34</v>
      </c>
      <c r="C523" s="3" t="str">
        <f>VLOOKUP(B523,'Accounts chart'!$A:$B,2,FALSE)</f>
        <v>รายรับค่าส่วนกลาง</v>
      </c>
      <c r="D523" t="s">
        <v>744</v>
      </c>
      <c r="E523" t="s">
        <v>618</v>
      </c>
      <c r="F523" t="s">
        <v>295</v>
      </c>
      <c r="G523" t="str">
        <f>VLOOKUP(F523,รายชื่อลูกบ้าน!$A:$B,2,FALSE)</f>
        <v>คุณภานุรังสิทธิ์-คุณภญาดา หมื่นจันทร์</v>
      </c>
      <c r="H523" t="s">
        <v>424</v>
      </c>
      <c r="J523" s="23">
        <v>600</v>
      </c>
    </row>
    <row r="524" spans="1:10">
      <c r="A524" s="2"/>
      <c r="C524" s="3"/>
    </row>
    <row r="525" spans="1:10">
      <c r="A525" s="2">
        <v>242221</v>
      </c>
      <c r="B525" s="7" t="s">
        <v>3</v>
      </c>
      <c r="C525" s="3" t="str">
        <f>VLOOKUP(B525,'Accounts chart'!$A:$B,2,FALSE)</f>
        <v>ธนาคารกสิกรไทย SA-040-1-56500-0</v>
      </c>
      <c r="D525" t="s">
        <v>745</v>
      </c>
      <c r="E525" t="s">
        <v>619</v>
      </c>
      <c r="F525" t="s">
        <v>354</v>
      </c>
      <c r="G525" t="str">
        <f>VLOOKUP(F525,รายชื่อลูกบ้าน!$A:$B,2,FALSE)</f>
        <v>คุณสุรัตน์ พันธุ์แย้มมาลี</v>
      </c>
      <c r="H525" t="s">
        <v>385</v>
      </c>
      <c r="I525" s="23">
        <v>600</v>
      </c>
    </row>
    <row r="526" spans="1:10">
      <c r="A526" s="2">
        <v>242221</v>
      </c>
      <c r="B526" s="7" t="s">
        <v>3</v>
      </c>
      <c r="C526" s="3" t="str">
        <f>VLOOKUP(B526,'Accounts chart'!$A:$B,2,FALSE)</f>
        <v>ธนาคารกสิกรไทย SA-040-1-56500-0</v>
      </c>
      <c r="D526" t="s">
        <v>745</v>
      </c>
      <c r="E526" t="s">
        <v>620</v>
      </c>
      <c r="F526" t="s">
        <v>313</v>
      </c>
      <c r="G526" t="str">
        <f>VLOOKUP(F526,รายชื่อลูกบ้าน!$A:$B,2,FALSE)</f>
        <v>คุณภานุมาศ ธนาธรศิริยุทธ์</v>
      </c>
      <c r="H526" t="s">
        <v>424</v>
      </c>
      <c r="I526" s="23">
        <v>600</v>
      </c>
    </row>
    <row r="527" spans="1:10">
      <c r="A527" s="2">
        <v>242221</v>
      </c>
      <c r="B527" s="7" t="s">
        <v>3</v>
      </c>
      <c r="C527" s="3" t="str">
        <f>VLOOKUP(B527,'Accounts chart'!$A:$B,2,FALSE)</f>
        <v>ธนาคารกสิกรไทย SA-040-1-56500-0</v>
      </c>
      <c r="D527" t="s">
        <v>745</v>
      </c>
      <c r="E527" t="s">
        <v>621</v>
      </c>
      <c r="F527" t="s">
        <v>317</v>
      </c>
      <c r="G527" t="str">
        <f>VLOOKUP(F527,รายชื่อลูกบ้าน!$A:$B,2,FALSE)</f>
        <v>คุณจิระศักดิ์ จันทร์โท</v>
      </c>
      <c r="H527" t="s">
        <v>661</v>
      </c>
      <c r="I527" s="23">
        <v>1200</v>
      </c>
    </row>
    <row r="528" spans="1:10">
      <c r="A528" s="2">
        <v>242221</v>
      </c>
      <c r="B528" s="7" t="s">
        <v>3</v>
      </c>
      <c r="C528" s="3" t="str">
        <f>VLOOKUP(B528,'Accounts chart'!$A:$B,2,FALSE)</f>
        <v>ธนาคารกสิกรไทย SA-040-1-56500-0</v>
      </c>
      <c r="D528" t="s">
        <v>745</v>
      </c>
      <c r="E528" t="s">
        <v>622</v>
      </c>
      <c r="F528" t="s">
        <v>159</v>
      </c>
      <c r="G528" t="str">
        <f>VLOOKUP(F528,รายชื่อลูกบ้าน!$A:$B,2,FALSE)</f>
        <v>คุณอดุลย์ แก้วอำไพ</v>
      </c>
      <c r="H528" t="s">
        <v>424</v>
      </c>
      <c r="I528" s="23">
        <v>600</v>
      </c>
    </row>
    <row r="529" spans="1:10">
      <c r="A529" s="2">
        <v>242221</v>
      </c>
      <c r="B529" s="7" t="s">
        <v>34</v>
      </c>
      <c r="C529" s="3" t="str">
        <f>VLOOKUP(B529,'Accounts chart'!$A:$B,2,FALSE)</f>
        <v>รายรับค่าส่วนกลาง</v>
      </c>
      <c r="D529" t="s">
        <v>745</v>
      </c>
      <c r="E529" t="s">
        <v>619</v>
      </c>
      <c r="F529" t="s">
        <v>354</v>
      </c>
      <c r="G529" t="str">
        <f>VLOOKUP(F529,รายชื่อลูกบ้าน!$A:$B,2,FALSE)</f>
        <v>คุณสุรัตน์ พันธุ์แย้มมาลี</v>
      </c>
      <c r="H529" t="s">
        <v>385</v>
      </c>
      <c r="J529" s="23">
        <v>600</v>
      </c>
    </row>
    <row r="530" spans="1:10">
      <c r="A530" s="2">
        <v>242221</v>
      </c>
      <c r="B530" s="7" t="s">
        <v>34</v>
      </c>
      <c r="C530" s="3" t="str">
        <f>VLOOKUP(B530,'Accounts chart'!$A:$B,2,FALSE)</f>
        <v>รายรับค่าส่วนกลาง</v>
      </c>
      <c r="D530" t="s">
        <v>745</v>
      </c>
      <c r="E530" t="s">
        <v>620</v>
      </c>
      <c r="F530" t="s">
        <v>313</v>
      </c>
      <c r="G530" t="str">
        <f>VLOOKUP(F530,รายชื่อลูกบ้าน!$A:$B,2,FALSE)</f>
        <v>คุณภานุมาศ ธนาธรศิริยุทธ์</v>
      </c>
      <c r="H530" t="s">
        <v>424</v>
      </c>
      <c r="J530" s="23">
        <v>600</v>
      </c>
    </row>
    <row r="531" spans="1:10">
      <c r="A531" s="2">
        <v>242221</v>
      </c>
      <c r="B531" s="7" t="s">
        <v>34</v>
      </c>
      <c r="C531" s="3" t="str">
        <f>VLOOKUP(B531,'Accounts chart'!$A:$B,2,FALSE)</f>
        <v>รายรับค่าส่วนกลาง</v>
      </c>
      <c r="D531" t="s">
        <v>745</v>
      </c>
      <c r="E531" t="s">
        <v>621</v>
      </c>
      <c r="F531" t="s">
        <v>317</v>
      </c>
      <c r="G531" t="str">
        <f>VLOOKUP(F531,รายชื่อลูกบ้าน!$A:$B,2,FALSE)</f>
        <v>คุณจิระศักดิ์ จันทร์โท</v>
      </c>
      <c r="H531" t="s">
        <v>661</v>
      </c>
      <c r="J531" s="23">
        <v>1200</v>
      </c>
    </row>
    <row r="532" spans="1:10">
      <c r="A532" s="2">
        <v>242221</v>
      </c>
      <c r="B532" s="7" t="s">
        <v>34</v>
      </c>
      <c r="C532" s="3" t="str">
        <f>VLOOKUP(B532,'Accounts chart'!$A:$B,2,FALSE)</f>
        <v>รายรับค่าส่วนกลาง</v>
      </c>
      <c r="D532" t="s">
        <v>745</v>
      </c>
      <c r="E532" t="s">
        <v>622</v>
      </c>
      <c r="F532" t="s">
        <v>159</v>
      </c>
      <c r="G532" t="str">
        <f>VLOOKUP(F532,รายชื่อลูกบ้าน!$A:$B,2,FALSE)</f>
        <v>คุณอดุลย์ แก้วอำไพ</v>
      </c>
      <c r="H532" t="s">
        <v>424</v>
      </c>
      <c r="J532" s="23">
        <v>600</v>
      </c>
    </row>
    <row r="533" spans="1:10">
      <c r="A533" s="2"/>
      <c r="C533" s="3"/>
    </row>
    <row r="534" spans="1:10">
      <c r="A534" s="2"/>
      <c r="C534" s="3"/>
    </row>
    <row r="535" spans="1:10">
      <c r="A535" s="2"/>
      <c r="C535" s="3"/>
    </row>
    <row r="536" spans="1:10">
      <c r="A536" s="2">
        <v>242222</v>
      </c>
      <c r="B536" s="7" t="s">
        <v>3</v>
      </c>
      <c r="C536" s="3" t="str">
        <f>VLOOKUP(B536,'Accounts chart'!$A:$B,2,FALSE)</f>
        <v>ธนาคารกสิกรไทย SA-040-1-56500-0</v>
      </c>
      <c r="D536" t="s">
        <v>746</v>
      </c>
      <c r="E536" t="s">
        <v>623</v>
      </c>
      <c r="F536" t="s">
        <v>311</v>
      </c>
      <c r="G536" t="str">
        <f>VLOOKUP(F536,รายชื่อลูกบ้าน!$A:$B,2,FALSE)</f>
        <v>คุณปิยณัฐ ปัญญาสวัสดิ์</v>
      </c>
      <c r="H536" t="s">
        <v>424</v>
      </c>
      <c r="I536" s="23">
        <v>600</v>
      </c>
    </row>
    <row r="537" spans="1:10">
      <c r="A537" s="25">
        <v>242222</v>
      </c>
      <c r="B537" s="26" t="s">
        <v>3</v>
      </c>
      <c r="C537" s="27" t="str">
        <f>VLOOKUP(B537,'Accounts chart'!$A:$B,2,FALSE)</f>
        <v>ธนาคารกสิกรไทย SA-040-1-56500-0</v>
      </c>
      <c r="D537" s="4" t="s">
        <v>746</v>
      </c>
      <c r="E537" s="4" t="s">
        <v>624</v>
      </c>
      <c r="F537" s="4" t="s">
        <v>656</v>
      </c>
      <c r="G537" s="4" t="e">
        <f>VLOOKUP(F537,รายชื่อลูกบ้าน!$A:$B,2,FALSE)</f>
        <v>#N/A</v>
      </c>
      <c r="H537" s="4" t="s">
        <v>662</v>
      </c>
      <c r="I537" s="28">
        <v>600</v>
      </c>
      <c r="J537" s="28"/>
    </row>
    <row r="538" spans="1:10">
      <c r="A538" s="2">
        <v>242223</v>
      </c>
      <c r="B538" s="7" t="s">
        <v>3</v>
      </c>
      <c r="C538" s="3" t="str">
        <f>VLOOKUP(B538,'Accounts chart'!$A:$B,2,FALSE)</f>
        <v>ธนาคารกสิกรไทย SA-040-1-56500-0</v>
      </c>
      <c r="D538" t="s">
        <v>746</v>
      </c>
      <c r="E538" t="s">
        <v>625</v>
      </c>
      <c r="F538" t="s">
        <v>95</v>
      </c>
      <c r="G538" t="str">
        <f>VLOOKUP(F538,รายชื่อลูกบ้าน!$A:$B,2,FALSE)</f>
        <v>คุณธีรภาพ ตาลลักษมณี</v>
      </c>
      <c r="H538" t="s">
        <v>401</v>
      </c>
      <c r="I538" s="23">
        <v>1800</v>
      </c>
    </row>
    <row r="539" spans="1:10">
      <c r="A539" s="2">
        <v>242223</v>
      </c>
      <c r="B539" s="7" t="s">
        <v>3</v>
      </c>
      <c r="C539" s="3" t="str">
        <f>VLOOKUP(B539,'Accounts chart'!$A:$B,2,FALSE)</f>
        <v>ธนาคารกสิกรไทย SA-040-1-56500-0</v>
      </c>
      <c r="D539" t="s">
        <v>746</v>
      </c>
      <c r="E539" t="s">
        <v>626</v>
      </c>
      <c r="F539" t="s">
        <v>360</v>
      </c>
      <c r="G539" t="str">
        <f>VLOOKUP(F539,รายชื่อลูกบ้าน!$A:$B,2,FALSE)</f>
        <v>คุณวิษา มีมาก</v>
      </c>
      <c r="H539" t="s">
        <v>424</v>
      </c>
      <c r="I539" s="23">
        <v>600</v>
      </c>
    </row>
    <row r="540" spans="1:10">
      <c r="A540" s="2">
        <v>242223</v>
      </c>
      <c r="B540" s="7" t="s">
        <v>3</v>
      </c>
      <c r="C540" s="3" t="str">
        <f>VLOOKUP(B540,'Accounts chart'!$A:$B,2,FALSE)</f>
        <v>ธนาคารกสิกรไทย SA-040-1-56500-0</v>
      </c>
      <c r="D540" t="s">
        <v>746</v>
      </c>
      <c r="E540" t="s">
        <v>627</v>
      </c>
      <c r="F540" t="s">
        <v>223</v>
      </c>
      <c r="G540" t="str">
        <f>VLOOKUP(F540,รายชื่อลูกบ้าน!$A:$B,2,FALSE)</f>
        <v>คุณสุจิตรา เนินคีริ</v>
      </c>
      <c r="H540" t="s">
        <v>385</v>
      </c>
      <c r="I540" s="23">
        <v>600</v>
      </c>
    </row>
    <row r="541" spans="1:10">
      <c r="A541" s="2">
        <v>242222</v>
      </c>
      <c r="B541" s="7" t="s">
        <v>34</v>
      </c>
      <c r="C541" s="3" t="str">
        <f>VLOOKUP(B541,'Accounts chart'!$A:$B,2,FALSE)</f>
        <v>รายรับค่าส่วนกลาง</v>
      </c>
      <c r="D541" t="s">
        <v>746</v>
      </c>
      <c r="E541" t="s">
        <v>623</v>
      </c>
      <c r="F541" t="s">
        <v>311</v>
      </c>
      <c r="G541" t="str">
        <f>VLOOKUP(F541,รายชื่อลูกบ้าน!$A:$B,2,FALSE)</f>
        <v>คุณปิยณัฐ ปัญญาสวัสดิ์</v>
      </c>
      <c r="H541" t="s">
        <v>424</v>
      </c>
      <c r="J541" s="23">
        <v>600</v>
      </c>
    </row>
    <row r="542" spans="1:10">
      <c r="A542" s="25">
        <v>242222</v>
      </c>
      <c r="B542" s="26" t="s">
        <v>26</v>
      </c>
      <c r="C542" s="27" t="str">
        <f>VLOOKUP(B542,'Accounts chart'!$A:$B,2,FALSE)</f>
        <v>รายได้ค่าส่วนกลางไม่ทราบชือ</v>
      </c>
      <c r="D542" s="4" t="s">
        <v>746</v>
      </c>
      <c r="E542" s="4" t="s">
        <v>624</v>
      </c>
      <c r="F542" s="4" t="s">
        <v>656</v>
      </c>
      <c r="G542" s="4" t="e">
        <f>VLOOKUP(F542,รายชื่อลูกบ้าน!$A:$B,2,FALSE)</f>
        <v>#N/A</v>
      </c>
      <c r="H542" s="4" t="s">
        <v>662</v>
      </c>
      <c r="I542" s="28"/>
      <c r="J542" s="28">
        <v>600</v>
      </c>
    </row>
    <row r="543" spans="1:10">
      <c r="A543" s="2">
        <v>242223</v>
      </c>
      <c r="B543" s="7" t="s">
        <v>34</v>
      </c>
      <c r="C543" s="3" t="str">
        <f>VLOOKUP(B543,'Accounts chart'!$A:$B,2,FALSE)</f>
        <v>รายรับค่าส่วนกลาง</v>
      </c>
      <c r="D543" t="s">
        <v>746</v>
      </c>
      <c r="E543" t="s">
        <v>625</v>
      </c>
      <c r="F543" t="s">
        <v>95</v>
      </c>
      <c r="G543" t="str">
        <f>VLOOKUP(F543,รายชื่อลูกบ้าน!$A:$B,2,FALSE)</f>
        <v>คุณธีรภาพ ตาลลักษมณี</v>
      </c>
      <c r="H543" t="s">
        <v>401</v>
      </c>
      <c r="J543" s="23">
        <v>1800</v>
      </c>
    </row>
    <row r="544" spans="1:10">
      <c r="A544" s="2">
        <v>242223</v>
      </c>
      <c r="B544" s="7" t="s">
        <v>34</v>
      </c>
      <c r="C544" s="3" t="str">
        <f>VLOOKUP(B544,'Accounts chart'!$A:$B,2,FALSE)</f>
        <v>รายรับค่าส่วนกลาง</v>
      </c>
      <c r="D544" t="s">
        <v>746</v>
      </c>
      <c r="E544" t="s">
        <v>626</v>
      </c>
      <c r="F544" t="s">
        <v>360</v>
      </c>
      <c r="G544" t="str">
        <f>VLOOKUP(F544,รายชื่อลูกบ้าน!$A:$B,2,FALSE)</f>
        <v>คุณวิษา มีมาก</v>
      </c>
      <c r="H544" t="s">
        <v>424</v>
      </c>
      <c r="J544" s="23">
        <v>600</v>
      </c>
    </row>
    <row r="545" spans="1:10">
      <c r="A545" s="2">
        <v>242223</v>
      </c>
      <c r="B545" s="7" t="s">
        <v>34</v>
      </c>
      <c r="C545" s="3" t="str">
        <f>VLOOKUP(B545,'Accounts chart'!$A:$B,2,FALSE)</f>
        <v>รายรับค่าส่วนกลาง</v>
      </c>
      <c r="D545" t="s">
        <v>746</v>
      </c>
      <c r="E545" t="s">
        <v>627</v>
      </c>
      <c r="F545" t="s">
        <v>223</v>
      </c>
      <c r="G545" t="str">
        <f>VLOOKUP(F545,รายชื่อลูกบ้าน!$A:$B,2,FALSE)</f>
        <v>คุณสุจิตรา เนินคีริ</v>
      </c>
      <c r="H545" t="s">
        <v>385</v>
      </c>
      <c r="J545" s="23">
        <v>600</v>
      </c>
    </row>
    <row r="546" spans="1:10">
      <c r="A546" s="2"/>
      <c r="C546" s="3"/>
    </row>
    <row r="547" spans="1:10">
      <c r="A547" s="2">
        <v>242225</v>
      </c>
      <c r="B547" s="7" t="s">
        <v>3</v>
      </c>
      <c r="C547" s="3" t="str">
        <f>VLOOKUP(B547,'Accounts chart'!$A:$B,2,FALSE)</f>
        <v>ธนาคารกสิกรไทย SA-040-1-56500-0</v>
      </c>
      <c r="D547" t="s">
        <v>747</v>
      </c>
      <c r="E547" t="s">
        <v>628</v>
      </c>
      <c r="F547" t="s">
        <v>137</v>
      </c>
      <c r="G547" t="str">
        <f>VLOOKUP(F547,รายชื่อลูกบ้าน!$A:$B,2,FALSE)</f>
        <v>คุณฐานันดร์ ไอยราพงศ์</v>
      </c>
      <c r="H547" t="s">
        <v>401</v>
      </c>
      <c r="I547" s="23">
        <v>1800</v>
      </c>
    </row>
    <row r="548" spans="1:10">
      <c r="A548" s="2">
        <v>242225</v>
      </c>
      <c r="B548" s="7" t="s">
        <v>3</v>
      </c>
      <c r="C548" s="3" t="str">
        <f>VLOOKUP(B548,'Accounts chart'!$A:$B,2,FALSE)</f>
        <v>ธนาคารกสิกรไทย SA-040-1-56500-0</v>
      </c>
      <c r="D548" t="s">
        <v>747</v>
      </c>
      <c r="E548" t="s">
        <v>629</v>
      </c>
      <c r="F548" t="s">
        <v>256</v>
      </c>
      <c r="G548" t="str">
        <f>VLOOKUP(F548,รายชื่อลูกบ้าน!$A:$B,2,FALSE)</f>
        <v>คุณพิชชา ขำสุวรรณ</v>
      </c>
      <c r="H548" t="s">
        <v>663</v>
      </c>
      <c r="I548" s="23">
        <v>1200</v>
      </c>
    </row>
    <row r="549" spans="1:10">
      <c r="A549" s="2">
        <v>242225</v>
      </c>
      <c r="B549" s="7" t="s">
        <v>3</v>
      </c>
      <c r="C549" s="3" t="str">
        <f>VLOOKUP(B549,'Accounts chart'!$A:$B,2,FALSE)</f>
        <v>ธนาคารกสิกรไทย SA-040-1-56500-0</v>
      </c>
      <c r="D549" t="s">
        <v>747</v>
      </c>
      <c r="E549" t="s">
        <v>630</v>
      </c>
      <c r="F549" t="s">
        <v>279</v>
      </c>
      <c r="G549" t="str">
        <f>VLOOKUP(F549,รายชื่อลูกบ้าน!$A:$B,2,FALSE)</f>
        <v>คุณเสกสิทธิ์ คำธานี</v>
      </c>
      <c r="H549" t="s">
        <v>385</v>
      </c>
      <c r="I549" s="23">
        <v>601.09</v>
      </c>
    </row>
    <row r="550" spans="1:10">
      <c r="A550" s="2">
        <v>242225</v>
      </c>
      <c r="B550" s="7" t="s">
        <v>34</v>
      </c>
      <c r="C550" s="3" t="str">
        <f>VLOOKUP(B550,'Accounts chart'!$A:$B,2,FALSE)</f>
        <v>รายรับค่าส่วนกลาง</v>
      </c>
      <c r="D550" t="s">
        <v>747</v>
      </c>
      <c r="E550" t="s">
        <v>628</v>
      </c>
      <c r="F550" t="s">
        <v>137</v>
      </c>
      <c r="G550" t="str">
        <f>VLOOKUP(F550,รายชื่อลูกบ้าน!$A:$B,2,FALSE)</f>
        <v>คุณฐานันดร์ ไอยราพงศ์</v>
      </c>
      <c r="H550" t="s">
        <v>401</v>
      </c>
      <c r="J550" s="23">
        <v>1800</v>
      </c>
    </row>
    <row r="551" spans="1:10">
      <c r="A551" s="2">
        <v>242225</v>
      </c>
      <c r="B551" s="7" t="s">
        <v>34</v>
      </c>
      <c r="C551" s="3" t="str">
        <f>VLOOKUP(B551,'Accounts chart'!$A:$B,2,FALSE)</f>
        <v>รายรับค่าส่วนกลาง</v>
      </c>
      <c r="D551" t="s">
        <v>747</v>
      </c>
      <c r="E551" t="s">
        <v>629</v>
      </c>
      <c r="F551" t="s">
        <v>256</v>
      </c>
      <c r="G551" t="str">
        <f>VLOOKUP(F551,รายชื่อลูกบ้าน!$A:$B,2,FALSE)</f>
        <v>คุณพิชชา ขำสุวรรณ</v>
      </c>
      <c r="H551" t="s">
        <v>663</v>
      </c>
      <c r="J551" s="23">
        <v>1200</v>
      </c>
    </row>
    <row r="552" spans="1:10">
      <c r="A552" s="2">
        <v>242225</v>
      </c>
      <c r="B552" s="7" t="s">
        <v>34</v>
      </c>
      <c r="C552" s="3" t="str">
        <f>VLOOKUP(B552,'Accounts chart'!$A:$B,2,FALSE)</f>
        <v>รายรับค่าส่วนกลาง</v>
      </c>
      <c r="D552" t="s">
        <v>747</v>
      </c>
      <c r="E552" t="s">
        <v>630</v>
      </c>
      <c r="F552" t="s">
        <v>279</v>
      </c>
      <c r="G552" t="str">
        <f>VLOOKUP(F552,รายชื่อลูกบ้าน!$A:$B,2,FALSE)</f>
        <v>คุณเสกสิทธิ์ คำธานี</v>
      </c>
      <c r="H552" t="s">
        <v>385</v>
      </c>
      <c r="J552" s="23">
        <v>601.09</v>
      </c>
    </row>
    <row r="553" spans="1:10">
      <c r="A553" s="2"/>
      <c r="C553" s="3"/>
      <c r="I553" s="20"/>
      <c r="J553" s="20"/>
    </row>
    <row r="554" spans="1:10">
      <c r="A554" s="2">
        <v>242226</v>
      </c>
      <c r="B554" s="7" t="s">
        <v>18</v>
      </c>
      <c r="C554" s="3" t="str">
        <f>VLOOKUP(B554,'Accounts chart'!$A:$B,2,FALSE)</f>
        <v>ค่ารักษาความปลอดภัยค้างจ่าย</v>
      </c>
      <c r="D554" t="s">
        <v>928</v>
      </c>
      <c r="G554" t="s">
        <v>769</v>
      </c>
      <c r="H554" t="s">
        <v>794</v>
      </c>
      <c r="I554" s="20">
        <v>38814.32</v>
      </c>
      <c r="J554" s="20"/>
    </row>
    <row r="555" spans="1:10">
      <c r="A555" s="2">
        <v>242226</v>
      </c>
      <c r="B555" s="7" t="s">
        <v>2</v>
      </c>
      <c r="C555" s="3" t="str">
        <f>VLOOKUP(B555,'Accounts chart'!$A:$B,2,FALSE)</f>
        <v>ธนาคารกสิกรไทย CA-040-1-57563-4</v>
      </c>
      <c r="D555" t="s">
        <v>928</v>
      </c>
      <c r="G555" t="s">
        <v>769</v>
      </c>
      <c r="H555" t="s">
        <v>794</v>
      </c>
      <c r="I555" s="20"/>
      <c r="J555" s="20">
        <v>38814.32</v>
      </c>
    </row>
    <row r="556" spans="1:10">
      <c r="A556" s="2"/>
      <c r="C556" s="3"/>
      <c r="I556" s="20"/>
      <c r="J556" s="20"/>
    </row>
    <row r="557" spans="1:10">
      <c r="A557" s="2">
        <v>242226</v>
      </c>
      <c r="B557" s="7" t="s">
        <v>16</v>
      </c>
      <c r="C557" s="3" t="str">
        <f>VLOOKUP(B557,'Accounts chart'!$A:$B,2,FALSE)</f>
        <v>ค่าบริการดูแลสระว่ายน้ำค้างจ่าย</v>
      </c>
      <c r="D557" t="s">
        <v>929</v>
      </c>
      <c r="G557" t="s">
        <v>775</v>
      </c>
      <c r="H557" t="s">
        <v>795</v>
      </c>
      <c r="I557" s="20">
        <v>7500</v>
      </c>
      <c r="J557" s="20"/>
    </row>
    <row r="558" spans="1:10">
      <c r="A558" s="2">
        <v>242226</v>
      </c>
      <c r="B558" s="7" t="s">
        <v>2</v>
      </c>
      <c r="C558" s="3" t="str">
        <f>VLOOKUP(B558,'Accounts chart'!$A:$B,2,FALSE)</f>
        <v>ธนาคารกสิกรไทย CA-040-1-57563-4</v>
      </c>
      <c r="D558" t="s">
        <v>929</v>
      </c>
      <c r="G558" t="s">
        <v>775</v>
      </c>
      <c r="H558" t="s">
        <v>795</v>
      </c>
      <c r="I558" s="20"/>
      <c r="J558" s="20">
        <v>7500</v>
      </c>
    </row>
    <row r="559" spans="1:10">
      <c r="A559" s="2"/>
      <c r="C559" s="3"/>
      <c r="I559" s="20"/>
      <c r="J559" s="20"/>
    </row>
    <row r="560" spans="1:10">
      <c r="A560" s="2">
        <v>242226</v>
      </c>
      <c r="B560" s="7" t="s">
        <v>44</v>
      </c>
      <c r="C560" s="3" t="str">
        <f>VLOOKUP(B560,'Accounts chart'!$A:$B,2,FALSE)</f>
        <v>วัสดุสิ้นเปลือง</v>
      </c>
      <c r="D560" t="s">
        <v>930</v>
      </c>
      <c r="H560" t="s">
        <v>796</v>
      </c>
      <c r="I560" s="20">
        <v>920</v>
      </c>
      <c r="J560" s="20"/>
    </row>
    <row r="561" spans="1:10">
      <c r="A561" s="2">
        <v>242226</v>
      </c>
      <c r="B561" s="7" t="s">
        <v>2</v>
      </c>
      <c r="C561" s="3" t="str">
        <f>VLOOKUP(B561,'Accounts chart'!$A:$B,2,FALSE)</f>
        <v>ธนาคารกสิกรไทย CA-040-1-57563-4</v>
      </c>
      <c r="D561" t="s">
        <v>930</v>
      </c>
      <c r="H561" t="s">
        <v>796</v>
      </c>
      <c r="I561" s="20"/>
      <c r="J561" s="20">
        <v>920</v>
      </c>
    </row>
    <row r="562" spans="1:10">
      <c r="A562" s="2"/>
      <c r="C562" s="3"/>
      <c r="I562" s="20"/>
      <c r="J562" s="20"/>
    </row>
    <row r="563" spans="1:10">
      <c r="A563" s="2">
        <v>242226</v>
      </c>
      <c r="B563" s="7" t="s">
        <v>22</v>
      </c>
      <c r="C563" s="3" t="str">
        <f>VLOOKUP(B563,'Accounts chart'!$A:$B,2,FALSE)</f>
        <v>ค่าดูแลส่วนกลางค้างจ่าย</v>
      </c>
      <c r="D563" t="s">
        <v>931</v>
      </c>
      <c r="G563" t="s">
        <v>771</v>
      </c>
      <c r="H563" t="s">
        <v>797</v>
      </c>
      <c r="I563" s="20">
        <v>15000</v>
      </c>
      <c r="J563" s="20"/>
    </row>
    <row r="564" spans="1:10">
      <c r="A564" s="2">
        <v>242226</v>
      </c>
      <c r="B564" s="7" t="s">
        <v>3</v>
      </c>
      <c r="C564" s="3" t="str">
        <f>VLOOKUP(B564,'Accounts chart'!$A:$B,2,FALSE)</f>
        <v>ธนาคารกสิกรไทย SA-040-1-56500-0</v>
      </c>
      <c r="D564" t="s">
        <v>931</v>
      </c>
      <c r="G564" t="s">
        <v>771</v>
      </c>
      <c r="H564" t="s">
        <v>797</v>
      </c>
      <c r="I564" s="20"/>
      <c r="J564" s="20">
        <v>15000</v>
      </c>
    </row>
    <row r="565" spans="1:10">
      <c r="A565" s="2"/>
      <c r="C565" s="3"/>
      <c r="I565" s="20"/>
      <c r="J565" s="20"/>
    </row>
    <row r="566" spans="1:10">
      <c r="A566" s="2">
        <v>242226</v>
      </c>
      <c r="B566" s="7" t="s">
        <v>20</v>
      </c>
      <c r="C566" s="3" t="str">
        <f>VLOOKUP(B566,'Accounts chart'!$A:$B,2,FALSE)</f>
        <v>ค่าไฟฟ้าค้างจ่าย</v>
      </c>
      <c r="D566" t="s">
        <v>932</v>
      </c>
      <c r="G566" t="s">
        <v>777</v>
      </c>
      <c r="H566" t="s">
        <v>798</v>
      </c>
      <c r="I566" s="20">
        <v>5769.34</v>
      </c>
      <c r="J566" s="20"/>
    </row>
    <row r="567" spans="1:10">
      <c r="A567" s="2">
        <v>242226</v>
      </c>
      <c r="B567" s="7" t="s">
        <v>2</v>
      </c>
      <c r="C567" s="3" t="str">
        <f>VLOOKUP(B567,'Accounts chart'!$A:$B,2,FALSE)</f>
        <v>ธนาคารกสิกรไทย CA-040-1-57563-4</v>
      </c>
      <c r="D567" t="s">
        <v>932</v>
      </c>
      <c r="G567" t="s">
        <v>777</v>
      </c>
      <c r="H567" t="s">
        <v>798</v>
      </c>
      <c r="I567" s="20"/>
      <c r="J567" s="20">
        <v>5769.34</v>
      </c>
    </row>
    <row r="568" spans="1:10">
      <c r="A568" s="2"/>
      <c r="C568" s="3"/>
      <c r="I568" s="20"/>
      <c r="J568" s="20"/>
    </row>
    <row r="569" spans="1:10">
      <c r="A569" s="2">
        <v>242227</v>
      </c>
      <c r="B569" s="7" t="s">
        <v>14</v>
      </c>
      <c r="C569" s="3" t="str">
        <f>VLOOKUP(B569,'Accounts chart'!$A:$B,2,FALSE)</f>
        <v>ค่าเก็บขยะค้างจ่าย</v>
      </c>
      <c r="D569" t="s">
        <v>933</v>
      </c>
      <c r="G569" t="s">
        <v>801</v>
      </c>
      <c r="H569" t="s">
        <v>799</v>
      </c>
      <c r="I569" s="20">
        <v>3000</v>
      </c>
      <c r="J569" s="20"/>
    </row>
    <row r="570" spans="1:10">
      <c r="A570" s="2">
        <v>242227</v>
      </c>
      <c r="B570" s="7" t="s">
        <v>2</v>
      </c>
      <c r="C570" s="3" t="str">
        <f>VLOOKUP(B570,'Accounts chart'!$A:$B,2,FALSE)</f>
        <v>ธนาคารกสิกรไทย CA-040-1-57563-4</v>
      </c>
      <c r="D570" t="s">
        <v>933</v>
      </c>
      <c r="G570" t="s">
        <v>801</v>
      </c>
      <c r="H570" t="s">
        <v>799</v>
      </c>
      <c r="I570" s="20"/>
      <c r="J570" s="20">
        <v>3000</v>
      </c>
    </row>
    <row r="571" spans="1:10">
      <c r="A571" s="2"/>
      <c r="C571" s="3"/>
      <c r="I571" s="20"/>
      <c r="J571" s="20"/>
    </row>
    <row r="572" spans="1:10">
      <c r="A572" s="2">
        <v>242227</v>
      </c>
      <c r="B572" s="7" t="s">
        <v>24</v>
      </c>
      <c r="C572" s="3" t="str">
        <f>VLOOKUP(B572,'Accounts chart'!$A:$B,2,FALSE)</f>
        <v>ค่าบริการทำบัญชีค้างจ่าย</v>
      </c>
      <c r="D572" t="s">
        <v>934</v>
      </c>
      <c r="G572" t="s">
        <v>802</v>
      </c>
      <c r="H572" t="s">
        <v>800</v>
      </c>
      <c r="I572" s="20">
        <v>2000</v>
      </c>
      <c r="J572" s="20"/>
    </row>
    <row r="573" spans="1:10">
      <c r="A573" s="2">
        <v>242231</v>
      </c>
      <c r="B573" s="7" t="s">
        <v>58</v>
      </c>
      <c r="C573" s="3" t="str">
        <f>VLOOKUP(B573,'Accounts chart'!$A:$B,2,FALSE)</f>
        <v>ค่าบริการทำบัญชี</v>
      </c>
      <c r="D573" t="s">
        <v>934</v>
      </c>
      <c r="G573" t="s">
        <v>802</v>
      </c>
      <c r="H573" t="s">
        <v>800</v>
      </c>
      <c r="I573" s="20">
        <v>2000</v>
      </c>
      <c r="J573" s="20"/>
    </row>
    <row r="574" spans="1:10">
      <c r="A574" s="2">
        <v>242231</v>
      </c>
      <c r="B574" s="7" t="s">
        <v>2</v>
      </c>
      <c r="C574" s="3" t="str">
        <f>VLOOKUP(B574,'Accounts chart'!$A:$B,2,FALSE)</f>
        <v>ธนาคารกสิกรไทย CA-040-1-57563-4</v>
      </c>
      <c r="D574" t="s">
        <v>934</v>
      </c>
      <c r="G574" t="s">
        <v>802</v>
      </c>
      <c r="H574" t="s">
        <v>800</v>
      </c>
      <c r="I574" s="20"/>
      <c r="J574" s="20">
        <v>4000</v>
      </c>
    </row>
    <row r="575" spans="1:10">
      <c r="A575" s="2"/>
      <c r="C575" s="3"/>
    </row>
    <row r="576" spans="1:10">
      <c r="A576" s="2">
        <v>242228</v>
      </c>
      <c r="B576" s="7" t="s">
        <v>3</v>
      </c>
      <c r="C576" s="3" t="str">
        <f>VLOOKUP(B576,'Accounts chart'!$A:$B,2,FALSE)</f>
        <v>ธนาคารกสิกรไทย SA-040-1-56500-0</v>
      </c>
      <c r="D576" t="s">
        <v>748</v>
      </c>
      <c r="E576" t="s">
        <v>631</v>
      </c>
      <c r="F576" t="s">
        <v>304</v>
      </c>
      <c r="G576" t="str">
        <f>VLOOKUP(F576,รายชื่อลูกบ้าน!$A:$B,2,FALSE)</f>
        <v>คุณกฤษณะ ฤทธิ์โพธิ์</v>
      </c>
      <c r="H576" t="s">
        <v>385</v>
      </c>
      <c r="I576" s="23">
        <v>600</v>
      </c>
    </row>
    <row r="577" spans="1:10">
      <c r="A577" s="2">
        <v>242228</v>
      </c>
      <c r="B577" s="7" t="s">
        <v>3</v>
      </c>
      <c r="C577" s="3" t="str">
        <f>VLOOKUP(B577,'Accounts chart'!$A:$B,2,FALSE)</f>
        <v>ธนาคารกสิกรไทย SA-040-1-56500-0</v>
      </c>
      <c r="D577" t="s">
        <v>748</v>
      </c>
      <c r="E577" t="s">
        <v>632</v>
      </c>
      <c r="F577" t="s">
        <v>152</v>
      </c>
      <c r="G577" t="str">
        <f>VLOOKUP(F577,รายชื่อลูกบ้าน!$A:$B,2,FALSE)</f>
        <v>คุณนฤมล ศรีแก้วแดง</v>
      </c>
      <c r="H577" t="s">
        <v>664</v>
      </c>
      <c r="I577" s="23">
        <v>7000</v>
      </c>
    </row>
    <row r="578" spans="1:10">
      <c r="A578" s="2">
        <v>242228</v>
      </c>
      <c r="B578" s="7" t="s">
        <v>34</v>
      </c>
      <c r="C578" s="3" t="str">
        <f>VLOOKUP(B578,'Accounts chart'!$A:$B,2,FALSE)</f>
        <v>รายรับค่าส่วนกลาง</v>
      </c>
      <c r="D578" t="s">
        <v>748</v>
      </c>
      <c r="E578" t="s">
        <v>631</v>
      </c>
      <c r="F578" t="s">
        <v>304</v>
      </c>
      <c r="G578" t="str">
        <f>VLOOKUP(F578,รายชื่อลูกบ้าน!$A:$B,2,FALSE)</f>
        <v>คุณกฤษณะ ฤทธิ์โพธิ์</v>
      </c>
      <c r="H578" t="s">
        <v>385</v>
      </c>
      <c r="J578" s="23">
        <v>600</v>
      </c>
    </row>
    <row r="579" spans="1:10">
      <c r="A579" s="2">
        <v>242228</v>
      </c>
      <c r="B579" s="7" t="s">
        <v>34</v>
      </c>
      <c r="C579" s="3" t="str">
        <f>VLOOKUP(B579,'Accounts chart'!$A:$B,2,FALSE)</f>
        <v>รายรับค่าส่วนกลาง</v>
      </c>
      <c r="D579" t="s">
        <v>748</v>
      </c>
      <c r="E579" t="s">
        <v>632</v>
      </c>
      <c r="F579" t="s">
        <v>152</v>
      </c>
      <c r="G579" t="str">
        <f>VLOOKUP(F579,รายชื่อลูกบ้าน!$A:$B,2,FALSE)</f>
        <v>คุณนฤมล ศรีแก้วแดง</v>
      </c>
      <c r="H579" t="s">
        <v>664</v>
      </c>
      <c r="J579" s="23">
        <v>7000</v>
      </c>
    </row>
    <row r="580" spans="1:10">
      <c r="A580" s="2"/>
      <c r="C580" s="3"/>
    </row>
    <row r="581" spans="1:10">
      <c r="A581" s="2">
        <v>242230</v>
      </c>
      <c r="B581" s="7" t="s">
        <v>3</v>
      </c>
      <c r="C581" s="3" t="str">
        <f>VLOOKUP(B581,'Accounts chart'!$A:$B,2,FALSE)</f>
        <v>ธนาคารกสิกรไทย SA-040-1-56500-0</v>
      </c>
      <c r="D581" t="s">
        <v>749</v>
      </c>
      <c r="E581" t="s">
        <v>633</v>
      </c>
      <c r="F581" t="s">
        <v>132</v>
      </c>
      <c r="G581" t="str">
        <f>VLOOKUP(F581,รายชื่อลูกบ้าน!$A:$B,2,FALSE)</f>
        <v>คุณสมหมาย เงินสมบัติ</v>
      </c>
      <c r="H581" t="s">
        <v>385</v>
      </c>
      <c r="I581" s="23">
        <v>600</v>
      </c>
    </row>
    <row r="582" spans="1:10">
      <c r="A582" s="2">
        <v>242230</v>
      </c>
      <c r="B582" s="7" t="s">
        <v>34</v>
      </c>
      <c r="C582" s="3" t="str">
        <f>VLOOKUP(B582,'Accounts chart'!$A:$B,2,FALSE)</f>
        <v>รายรับค่าส่วนกลาง</v>
      </c>
      <c r="D582" t="s">
        <v>749</v>
      </c>
      <c r="E582" t="s">
        <v>633</v>
      </c>
      <c r="F582" t="s">
        <v>132</v>
      </c>
      <c r="G582" t="str">
        <f>VLOOKUP(F582,รายชื่อลูกบ้าน!$A:$B,2,FALSE)</f>
        <v>คุณสมหมาย เงินสมบัติ</v>
      </c>
      <c r="H582" t="s">
        <v>385</v>
      </c>
      <c r="J582" s="23">
        <v>600</v>
      </c>
    </row>
    <row r="583" spans="1:10">
      <c r="A583" s="2"/>
      <c r="C583" s="3"/>
    </row>
    <row r="584" spans="1:10">
      <c r="A584" s="2">
        <v>242241</v>
      </c>
      <c r="B584" s="7" t="s">
        <v>3</v>
      </c>
      <c r="C584" s="3" t="str">
        <f>VLOOKUP(B584,'Accounts chart'!$A:$B,2,FALSE)</f>
        <v>ธนาคารกสิกรไทย SA-040-1-56500-0</v>
      </c>
      <c r="D584" t="s">
        <v>750</v>
      </c>
      <c r="E584" t="s">
        <v>634</v>
      </c>
      <c r="F584" t="s">
        <v>362</v>
      </c>
      <c r="G584" t="str">
        <f>VLOOKUP(F584,รายชื่อลูกบ้าน!$A:$B,2,FALSE)</f>
        <v>คุณพีรภัทร์ ศัสตราพฤกษ์</v>
      </c>
      <c r="H584" t="s">
        <v>424</v>
      </c>
      <c r="I584" s="23">
        <v>600</v>
      </c>
    </row>
    <row r="585" spans="1:10">
      <c r="A585" s="2">
        <v>242241</v>
      </c>
      <c r="B585" s="7" t="s">
        <v>3</v>
      </c>
      <c r="C585" s="3" t="str">
        <f>VLOOKUP(B585,'Accounts chart'!$A:$B,2,FALSE)</f>
        <v>ธนาคารกสิกรไทย SA-040-1-56500-0</v>
      </c>
      <c r="D585" t="s">
        <v>750</v>
      </c>
      <c r="E585" t="s">
        <v>635</v>
      </c>
      <c r="F585" t="s">
        <v>300</v>
      </c>
      <c r="G585" t="str">
        <f>VLOOKUP(F585,รายชื่อลูกบ้าน!$A:$B,2,FALSE)</f>
        <v>คุณเชาว์วัศ-คุณสุวภาพ เวชทัศน์</v>
      </c>
      <c r="H585" t="s">
        <v>385</v>
      </c>
      <c r="I585" s="23">
        <v>600</v>
      </c>
    </row>
    <row r="586" spans="1:10">
      <c r="A586" s="2">
        <v>242241</v>
      </c>
      <c r="B586" s="7" t="s">
        <v>34</v>
      </c>
      <c r="C586" s="3" t="str">
        <f>VLOOKUP(B586,'Accounts chart'!$A:$B,2,FALSE)</f>
        <v>รายรับค่าส่วนกลาง</v>
      </c>
      <c r="D586" t="s">
        <v>750</v>
      </c>
      <c r="E586" t="s">
        <v>634</v>
      </c>
      <c r="F586" t="s">
        <v>362</v>
      </c>
      <c r="G586" t="str">
        <f>VLOOKUP(F586,รายชื่อลูกบ้าน!$A:$B,2,FALSE)</f>
        <v>คุณพีรภัทร์ ศัสตราพฤกษ์</v>
      </c>
      <c r="H586" t="s">
        <v>424</v>
      </c>
      <c r="J586" s="23">
        <v>600</v>
      </c>
    </row>
    <row r="587" spans="1:10">
      <c r="A587" s="2">
        <v>242241</v>
      </c>
      <c r="B587" s="7" t="s">
        <v>34</v>
      </c>
      <c r="C587" s="3" t="str">
        <f>VLOOKUP(B587,'Accounts chart'!$A:$B,2,FALSE)</f>
        <v>รายรับค่าส่วนกลาง</v>
      </c>
      <c r="D587" t="s">
        <v>750</v>
      </c>
      <c r="E587" t="s">
        <v>635</v>
      </c>
      <c r="F587" t="s">
        <v>300</v>
      </c>
      <c r="G587" t="str">
        <f>VLOOKUP(F587,รายชื่อลูกบ้าน!$A:$B,2,FALSE)</f>
        <v>คุณเชาว์วัศ-คุณสุวภาพ เวชทัศน์</v>
      </c>
      <c r="H587" t="s">
        <v>385</v>
      </c>
      <c r="J587" s="23">
        <v>600</v>
      </c>
    </row>
    <row r="588" spans="1:10">
      <c r="A588" s="2"/>
      <c r="C588" s="3"/>
    </row>
    <row r="589" spans="1:10">
      <c r="A589" s="2">
        <v>242242</v>
      </c>
      <c r="B589" s="7" t="s">
        <v>3</v>
      </c>
      <c r="C589" s="3" t="str">
        <f>VLOOKUP(B589,'Accounts chart'!$A:$B,2,FALSE)</f>
        <v>ธนาคารกสิกรไทย SA-040-1-56500-0</v>
      </c>
      <c r="D589" t="s">
        <v>751</v>
      </c>
      <c r="E589" t="s">
        <v>636</v>
      </c>
      <c r="F589" t="s">
        <v>241</v>
      </c>
      <c r="G589" t="str">
        <f>VLOOKUP(F589,รายชื่อลูกบ้าน!$A:$B,2,FALSE)</f>
        <v>คุณสุกิจ หมื่นยศ</v>
      </c>
      <c r="H589" t="s">
        <v>424</v>
      </c>
      <c r="I589" s="23">
        <v>600</v>
      </c>
    </row>
    <row r="590" spans="1:10">
      <c r="A590" s="2">
        <v>242242</v>
      </c>
      <c r="B590" s="7" t="s">
        <v>34</v>
      </c>
      <c r="C590" s="3" t="str">
        <f>VLOOKUP(B590,'Accounts chart'!$A:$B,2,FALSE)</f>
        <v>รายรับค่าส่วนกลาง</v>
      </c>
      <c r="D590" t="s">
        <v>751</v>
      </c>
      <c r="E590" t="s">
        <v>636</v>
      </c>
      <c r="F590" t="s">
        <v>241</v>
      </c>
      <c r="G590" t="str">
        <f>VLOOKUP(F590,รายชื่อลูกบ้าน!$A:$B,2,FALSE)</f>
        <v>คุณสุกิจ หมื่นยศ</v>
      </c>
      <c r="H590" t="s">
        <v>424</v>
      </c>
      <c r="J590" s="23">
        <v>600</v>
      </c>
    </row>
    <row r="591" spans="1:10">
      <c r="A591" s="2"/>
      <c r="C591" s="3"/>
    </row>
    <row r="592" spans="1:10">
      <c r="A592" s="2">
        <v>242243</v>
      </c>
      <c r="B592" s="7" t="s">
        <v>3</v>
      </c>
      <c r="C592" s="3" t="str">
        <f>VLOOKUP(B592,'Accounts chart'!$A:$B,2,FALSE)</f>
        <v>ธนาคารกสิกรไทย SA-040-1-56500-0</v>
      </c>
      <c r="D592" t="s">
        <v>752</v>
      </c>
      <c r="E592" t="s">
        <v>637</v>
      </c>
      <c r="F592" t="s">
        <v>285</v>
      </c>
      <c r="G592" t="str">
        <f>VLOOKUP(F592,รายชื่อลูกบ้าน!$A:$B,2,FALSE)</f>
        <v>คุณประจักษ์ เนื่องละออ-คุณวนิดา เส็งนิสัย</v>
      </c>
      <c r="H592" t="s">
        <v>385</v>
      </c>
      <c r="I592" s="23">
        <v>601.12</v>
      </c>
    </row>
    <row r="593" spans="1:10">
      <c r="A593" s="2">
        <v>242243</v>
      </c>
      <c r="B593" s="7" t="s">
        <v>3</v>
      </c>
      <c r="C593" s="3" t="str">
        <f>VLOOKUP(B593,'Accounts chart'!$A:$B,2,FALSE)</f>
        <v>ธนาคารกสิกรไทย SA-040-1-56500-0</v>
      </c>
      <c r="D593" t="s">
        <v>752</v>
      </c>
      <c r="E593" t="s">
        <v>638</v>
      </c>
      <c r="F593" t="s">
        <v>267</v>
      </c>
      <c r="G593" t="str">
        <f>VLOOKUP(F593,รายชื่อลูกบ้าน!$A:$B,2,FALSE)</f>
        <v>คุณดนัย ฮาวต่อมแก้ว</v>
      </c>
      <c r="H593" t="s">
        <v>424</v>
      </c>
      <c r="I593" s="23">
        <v>600</v>
      </c>
    </row>
    <row r="594" spans="1:10">
      <c r="A594" s="2">
        <v>242243</v>
      </c>
      <c r="B594" s="7" t="s">
        <v>3</v>
      </c>
      <c r="C594" s="3" t="str">
        <f>VLOOKUP(B594,'Accounts chart'!$A:$B,2,FALSE)</f>
        <v>ธนาคารกสิกรไทย SA-040-1-56500-0</v>
      </c>
      <c r="D594" t="s">
        <v>752</v>
      </c>
      <c r="E594" t="s">
        <v>639</v>
      </c>
      <c r="F594" t="s">
        <v>263</v>
      </c>
      <c r="G594" t="str">
        <f>VLOOKUP(F594,รายชื่อลูกบ้าน!$A:$B,2,FALSE)</f>
        <v>คุณธัญพร โชคศิริภาวรตาซเซ</v>
      </c>
      <c r="H594" t="s">
        <v>661</v>
      </c>
      <c r="I594" s="23">
        <v>1200</v>
      </c>
    </row>
    <row r="595" spans="1:10">
      <c r="A595" s="2">
        <v>242243</v>
      </c>
      <c r="B595" s="7" t="s">
        <v>34</v>
      </c>
      <c r="C595" s="3" t="str">
        <f>VLOOKUP(B595,'Accounts chart'!$A:$B,2,FALSE)</f>
        <v>รายรับค่าส่วนกลาง</v>
      </c>
      <c r="D595" t="s">
        <v>752</v>
      </c>
      <c r="E595" t="s">
        <v>637</v>
      </c>
      <c r="F595" t="s">
        <v>285</v>
      </c>
      <c r="G595" t="str">
        <f>VLOOKUP(F595,รายชื่อลูกบ้าน!$A:$B,2,FALSE)</f>
        <v>คุณประจักษ์ เนื่องละออ-คุณวนิดา เส็งนิสัย</v>
      </c>
      <c r="H595" t="s">
        <v>385</v>
      </c>
      <c r="J595" s="23">
        <v>601.12</v>
      </c>
    </row>
    <row r="596" spans="1:10">
      <c r="A596" s="2">
        <v>242243</v>
      </c>
      <c r="B596" s="7" t="s">
        <v>34</v>
      </c>
      <c r="C596" s="3" t="str">
        <f>VLOOKUP(B596,'Accounts chart'!$A:$B,2,FALSE)</f>
        <v>รายรับค่าส่วนกลาง</v>
      </c>
      <c r="D596" t="s">
        <v>752</v>
      </c>
      <c r="E596" t="s">
        <v>638</v>
      </c>
      <c r="F596" t="s">
        <v>267</v>
      </c>
      <c r="G596" t="str">
        <f>VLOOKUP(F596,รายชื่อลูกบ้าน!$A:$B,2,FALSE)</f>
        <v>คุณดนัย ฮาวต่อมแก้ว</v>
      </c>
      <c r="H596" t="s">
        <v>424</v>
      </c>
      <c r="J596" s="23">
        <v>600</v>
      </c>
    </row>
    <row r="597" spans="1:10">
      <c r="A597" s="2">
        <v>242243</v>
      </c>
      <c r="B597" s="7" t="s">
        <v>34</v>
      </c>
      <c r="C597" s="3" t="str">
        <f>VLOOKUP(B597,'Accounts chart'!$A:$B,2,FALSE)</f>
        <v>รายรับค่าส่วนกลาง</v>
      </c>
      <c r="D597" t="s">
        <v>752</v>
      </c>
      <c r="E597" t="s">
        <v>639</v>
      </c>
      <c r="F597" t="s">
        <v>263</v>
      </c>
      <c r="G597" t="str">
        <f>VLOOKUP(F597,รายชื่อลูกบ้าน!$A:$B,2,FALSE)</f>
        <v>คุณธัญพร โชคศิริภาวรตาซเซ</v>
      </c>
      <c r="H597" t="s">
        <v>661</v>
      </c>
      <c r="J597" s="23">
        <v>1200</v>
      </c>
    </row>
    <row r="598" spans="1:10">
      <c r="A598" s="2"/>
      <c r="C598" s="3"/>
    </row>
    <row r="599" spans="1:10">
      <c r="A599" s="2">
        <v>242244</v>
      </c>
      <c r="B599" s="7" t="s">
        <v>3</v>
      </c>
      <c r="C599" s="3" t="str">
        <f>VLOOKUP(B599,'Accounts chart'!$A:$B,2,FALSE)</f>
        <v>ธนาคารกสิกรไทย SA-040-1-56500-0</v>
      </c>
      <c r="D599" t="s">
        <v>753</v>
      </c>
      <c r="E599" t="s">
        <v>640</v>
      </c>
      <c r="F599" t="s">
        <v>319</v>
      </c>
      <c r="G599" t="str">
        <f>VLOOKUP(F599,รายชื่อลูกบ้าน!$A:$B,2,FALSE)</f>
        <v>คุณณัฐพงศ์ สุวรรณมณี</v>
      </c>
      <c r="H599" t="s">
        <v>424</v>
      </c>
      <c r="I599" s="23">
        <v>600</v>
      </c>
    </row>
    <row r="600" spans="1:10">
      <c r="A600" s="2">
        <v>242244</v>
      </c>
      <c r="B600" s="7" t="s">
        <v>3</v>
      </c>
      <c r="C600" s="3" t="str">
        <f>VLOOKUP(B600,'Accounts chart'!$A:$B,2,FALSE)</f>
        <v>ธนาคารกสิกรไทย SA-040-1-56500-0</v>
      </c>
      <c r="D600" t="s">
        <v>753</v>
      </c>
      <c r="E600" t="s">
        <v>641</v>
      </c>
      <c r="F600" t="s">
        <v>187</v>
      </c>
      <c r="G600" t="str">
        <f>VLOOKUP(F600,รายชื่อลูกบ้าน!$A:$B,2,FALSE)</f>
        <v>นายญัชพล ภู่ถาวร</v>
      </c>
      <c r="H600" t="s">
        <v>665</v>
      </c>
      <c r="I600" s="23">
        <v>600</v>
      </c>
    </row>
    <row r="601" spans="1:10">
      <c r="A601" s="2">
        <v>242244</v>
      </c>
      <c r="B601" s="7" t="s">
        <v>3</v>
      </c>
      <c r="C601" s="3" t="str">
        <f>VLOOKUP(B601,'Accounts chart'!$A:$B,2,FALSE)</f>
        <v>ธนาคารกสิกรไทย SA-040-1-56500-0</v>
      </c>
      <c r="D601" t="s">
        <v>753</v>
      </c>
      <c r="E601" t="s">
        <v>642</v>
      </c>
      <c r="F601" t="s">
        <v>251</v>
      </c>
      <c r="G601" t="str">
        <f>VLOOKUP(F601,รายชื่อลูกบ้าน!$A:$B,2,FALSE)</f>
        <v>คุณวิบูลย์ ฤทธิ์ทองพิทักษ์</v>
      </c>
      <c r="H601" t="s">
        <v>424</v>
      </c>
      <c r="I601" s="23">
        <v>600</v>
      </c>
    </row>
    <row r="602" spans="1:10">
      <c r="A602" s="2">
        <v>242244</v>
      </c>
      <c r="B602" s="7" t="s">
        <v>3</v>
      </c>
      <c r="C602" s="3" t="str">
        <f>VLOOKUP(B602,'Accounts chart'!$A:$B,2,FALSE)</f>
        <v>ธนาคารกสิกรไทย SA-040-1-56500-0</v>
      </c>
      <c r="D602" t="s">
        <v>753</v>
      </c>
      <c r="E602" t="s">
        <v>643</v>
      </c>
      <c r="F602" t="s">
        <v>227</v>
      </c>
      <c r="G602" t="str">
        <f>VLOOKUP(F602,รายชื่อลูกบ้าน!$A:$B,2,FALSE)</f>
        <v>คุณเกียรติชัย การรุ่งเรือง-คุณศศิธร เศียรศิริบัณฑิต</v>
      </c>
      <c r="H602" t="s">
        <v>424</v>
      </c>
      <c r="I602" s="23">
        <v>600</v>
      </c>
    </row>
    <row r="603" spans="1:10">
      <c r="A603" s="2">
        <v>242244</v>
      </c>
      <c r="B603" s="7" t="s">
        <v>34</v>
      </c>
      <c r="C603" s="3" t="str">
        <f>VLOOKUP(B603,'Accounts chart'!$A:$B,2,FALSE)</f>
        <v>รายรับค่าส่วนกลาง</v>
      </c>
      <c r="D603" t="s">
        <v>753</v>
      </c>
      <c r="E603" t="s">
        <v>640</v>
      </c>
      <c r="F603" t="s">
        <v>319</v>
      </c>
      <c r="G603" t="str">
        <f>VLOOKUP(F603,รายชื่อลูกบ้าน!$A:$B,2,FALSE)</f>
        <v>คุณณัฐพงศ์ สุวรรณมณี</v>
      </c>
      <c r="H603" t="s">
        <v>424</v>
      </c>
      <c r="J603" s="23">
        <v>600</v>
      </c>
    </row>
    <row r="604" spans="1:10">
      <c r="A604" s="2">
        <v>242244</v>
      </c>
      <c r="B604" s="7" t="s">
        <v>34</v>
      </c>
      <c r="C604" s="3" t="str">
        <f>VLOOKUP(B604,'Accounts chart'!$A:$B,2,FALSE)</f>
        <v>รายรับค่าส่วนกลาง</v>
      </c>
      <c r="D604" t="s">
        <v>753</v>
      </c>
      <c r="E604" t="s">
        <v>641</v>
      </c>
      <c r="F604" t="s">
        <v>187</v>
      </c>
      <c r="G604" t="str">
        <f>VLOOKUP(F604,รายชื่อลูกบ้าน!$A:$B,2,FALSE)</f>
        <v>นายญัชพล ภู่ถาวร</v>
      </c>
      <c r="H604" t="s">
        <v>665</v>
      </c>
      <c r="J604" s="23">
        <v>600</v>
      </c>
    </row>
    <row r="605" spans="1:10">
      <c r="A605" s="2">
        <v>242244</v>
      </c>
      <c r="B605" s="7" t="s">
        <v>34</v>
      </c>
      <c r="C605" s="3" t="str">
        <f>VLOOKUP(B605,'Accounts chart'!$A:$B,2,FALSE)</f>
        <v>รายรับค่าส่วนกลาง</v>
      </c>
      <c r="D605" t="s">
        <v>753</v>
      </c>
      <c r="E605" t="s">
        <v>642</v>
      </c>
      <c r="F605" t="s">
        <v>251</v>
      </c>
      <c r="G605" t="str">
        <f>VLOOKUP(F605,รายชื่อลูกบ้าน!$A:$B,2,FALSE)</f>
        <v>คุณวิบูลย์ ฤทธิ์ทองพิทักษ์</v>
      </c>
      <c r="H605" t="s">
        <v>424</v>
      </c>
      <c r="J605" s="23">
        <v>600</v>
      </c>
    </row>
    <row r="606" spans="1:10">
      <c r="A606" s="2">
        <v>242244</v>
      </c>
      <c r="B606" s="7" t="s">
        <v>34</v>
      </c>
      <c r="C606" s="3" t="str">
        <f>VLOOKUP(B606,'Accounts chart'!$A:$B,2,FALSE)</f>
        <v>รายรับค่าส่วนกลาง</v>
      </c>
      <c r="D606" t="s">
        <v>753</v>
      </c>
      <c r="E606" t="s">
        <v>643</v>
      </c>
      <c r="F606" t="s">
        <v>227</v>
      </c>
      <c r="G606" t="str">
        <f>VLOOKUP(F606,รายชื่อลูกบ้าน!$A:$B,2,FALSE)</f>
        <v>คุณเกียรติชัย การรุ่งเรือง-คุณศศิธร เศียรศิริบัณฑิต</v>
      </c>
      <c r="H606" t="s">
        <v>424</v>
      </c>
      <c r="J606" s="23">
        <v>600</v>
      </c>
    </row>
    <row r="607" spans="1:10">
      <c r="A607" s="2"/>
      <c r="C607" s="3"/>
    </row>
    <row r="608" spans="1:10">
      <c r="A608" s="2">
        <v>242246</v>
      </c>
      <c r="B608" s="7" t="s">
        <v>3</v>
      </c>
      <c r="C608" s="3" t="str">
        <f>VLOOKUP(B608,'Accounts chart'!$A:$B,2,FALSE)</f>
        <v>ธนาคารกสิกรไทย SA-040-1-56500-0</v>
      </c>
      <c r="D608" t="s">
        <v>754</v>
      </c>
      <c r="E608" t="s">
        <v>644</v>
      </c>
      <c r="F608" t="s">
        <v>182</v>
      </c>
      <c r="G608" t="str">
        <f>VLOOKUP(F608,รายชื่อลูกบ้าน!$A:$B,2,FALSE)</f>
        <v>คุณสิระพัชร์ หน่อแก้ว</v>
      </c>
      <c r="H608" t="s">
        <v>424</v>
      </c>
      <c r="I608" s="23">
        <v>600.53</v>
      </c>
    </row>
    <row r="609" spans="1:10">
      <c r="A609" s="2">
        <v>242246</v>
      </c>
      <c r="B609" s="7" t="s">
        <v>3</v>
      </c>
      <c r="C609" s="3" t="str">
        <f>VLOOKUP(B609,'Accounts chart'!$A:$B,2,FALSE)</f>
        <v>ธนาคารกสิกรไทย SA-040-1-56500-0</v>
      </c>
      <c r="D609" t="s">
        <v>754</v>
      </c>
      <c r="E609" t="s">
        <v>645</v>
      </c>
      <c r="F609" t="s">
        <v>295</v>
      </c>
      <c r="G609" t="str">
        <f>VLOOKUP(F609,รายชื่อลูกบ้าน!$A:$B,2,FALSE)</f>
        <v>คุณภานุรังสิทธิ์-คุณภญาดา หมื่นจันทร์</v>
      </c>
      <c r="H609" t="s">
        <v>665</v>
      </c>
      <c r="I609" s="23">
        <v>600</v>
      </c>
    </row>
    <row r="610" spans="1:10">
      <c r="A610" s="2">
        <v>242246</v>
      </c>
      <c r="B610" s="7" t="s">
        <v>3</v>
      </c>
      <c r="C610" s="3" t="str">
        <f>VLOOKUP(B610,'Accounts chart'!$A:$B,2,FALSE)</f>
        <v>ธนาคารกสิกรไทย SA-040-1-56500-0</v>
      </c>
      <c r="D610" t="s">
        <v>754</v>
      </c>
      <c r="E610" t="s">
        <v>646</v>
      </c>
      <c r="F610" t="s">
        <v>173</v>
      </c>
      <c r="G610" t="str">
        <f>VLOOKUP(F610,รายชื่อลูกบ้าน!$A:$B,2,FALSE)</f>
        <v>คุณพิริยะ ทรัพย์เจริญ-คุณเยาวเรศ โกสุมพิทักษ์</v>
      </c>
      <c r="H610" t="s">
        <v>424</v>
      </c>
      <c r="I610" s="23">
        <v>600</v>
      </c>
    </row>
    <row r="611" spans="1:10">
      <c r="A611" s="2">
        <v>242246</v>
      </c>
      <c r="B611" s="7" t="s">
        <v>3</v>
      </c>
      <c r="C611" s="3" t="str">
        <f>VLOOKUP(B611,'Accounts chart'!$A:$B,2,FALSE)</f>
        <v>ธนาคารกสิกรไทย SA-040-1-56500-0</v>
      </c>
      <c r="D611" t="s">
        <v>754</v>
      </c>
      <c r="E611" t="s">
        <v>647</v>
      </c>
      <c r="F611" t="s">
        <v>185</v>
      </c>
      <c r="G611" t="str">
        <f>VLOOKUP(F611,รายชื่อลูกบ้าน!$A:$B,2,FALSE)</f>
        <v>คุณชาญชัย ตนะศุภผล</v>
      </c>
      <c r="H611" t="s">
        <v>665</v>
      </c>
      <c r="I611" s="23">
        <v>600.54999999999995</v>
      </c>
    </row>
    <row r="612" spans="1:10">
      <c r="A612" s="2">
        <v>242246</v>
      </c>
      <c r="B612" s="7" t="s">
        <v>3</v>
      </c>
      <c r="C612" s="3" t="str">
        <f>VLOOKUP(B612,'Accounts chart'!$A:$B,2,FALSE)</f>
        <v>ธนาคารกสิกรไทย SA-040-1-56500-0</v>
      </c>
      <c r="D612" t="s">
        <v>754</v>
      </c>
      <c r="E612" t="s">
        <v>648</v>
      </c>
      <c r="F612" t="s">
        <v>348</v>
      </c>
      <c r="G612" t="str">
        <f>VLOOKUP(F612,รายชื่อลูกบ้าน!$A:$B,2,FALSE)</f>
        <v>คุณศักดิชัย ไชยเผือก</v>
      </c>
      <c r="H612" t="s">
        <v>401</v>
      </c>
      <c r="I612" s="23">
        <v>1800</v>
      </c>
    </row>
    <row r="613" spans="1:10">
      <c r="A613" s="2">
        <v>242246</v>
      </c>
      <c r="B613" s="7" t="s">
        <v>3</v>
      </c>
      <c r="C613" s="3" t="str">
        <f>VLOOKUP(B613,'Accounts chart'!$A:$B,2,FALSE)</f>
        <v>ธนาคารกสิกรไทย SA-040-1-56500-0</v>
      </c>
      <c r="D613" t="s">
        <v>754</v>
      </c>
      <c r="E613" t="s">
        <v>649</v>
      </c>
      <c r="F613" t="s">
        <v>201</v>
      </c>
      <c r="G613" t="str">
        <f>VLOOKUP(F613,รายชื่อลูกบ้าน!$A:$B,2,FALSE)</f>
        <v>คุณณัฐธีร์ เลิศรัตน์วัฒนา</v>
      </c>
      <c r="H613" t="s">
        <v>424</v>
      </c>
      <c r="I613" s="23">
        <v>600</v>
      </c>
    </row>
    <row r="614" spans="1:10">
      <c r="A614" s="2">
        <v>242246</v>
      </c>
      <c r="B614" s="7" t="s">
        <v>34</v>
      </c>
      <c r="C614" s="3" t="str">
        <f>VLOOKUP(B614,'Accounts chart'!$A:$B,2,FALSE)</f>
        <v>รายรับค่าส่วนกลาง</v>
      </c>
      <c r="D614" t="s">
        <v>754</v>
      </c>
      <c r="E614" t="s">
        <v>644</v>
      </c>
      <c r="F614" t="s">
        <v>182</v>
      </c>
      <c r="G614" t="str">
        <f>VLOOKUP(F614,รายชื่อลูกบ้าน!$A:$B,2,FALSE)</f>
        <v>คุณสิระพัชร์ หน่อแก้ว</v>
      </c>
      <c r="H614" t="s">
        <v>424</v>
      </c>
      <c r="J614" s="23">
        <v>600.53</v>
      </c>
    </row>
    <row r="615" spans="1:10">
      <c r="A615" s="2">
        <v>242246</v>
      </c>
      <c r="B615" s="7" t="s">
        <v>34</v>
      </c>
      <c r="C615" s="3" t="str">
        <f>VLOOKUP(B615,'Accounts chart'!$A:$B,2,FALSE)</f>
        <v>รายรับค่าส่วนกลาง</v>
      </c>
      <c r="D615" t="s">
        <v>754</v>
      </c>
      <c r="E615" t="s">
        <v>645</v>
      </c>
      <c r="F615" t="s">
        <v>295</v>
      </c>
      <c r="G615" t="str">
        <f>VLOOKUP(F615,รายชื่อลูกบ้าน!$A:$B,2,FALSE)</f>
        <v>คุณภานุรังสิทธิ์-คุณภญาดา หมื่นจันทร์</v>
      </c>
      <c r="H615" t="s">
        <v>665</v>
      </c>
      <c r="J615" s="23">
        <v>600</v>
      </c>
    </row>
    <row r="616" spans="1:10">
      <c r="A616" s="2">
        <v>242246</v>
      </c>
      <c r="B616" s="7" t="s">
        <v>34</v>
      </c>
      <c r="C616" s="3" t="str">
        <f>VLOOKUP(B616,'Accounts chart'!$A:$B,2,FALSE)</f>
        <v>รายรับค่าส่วนกลาง</v>
      </c>
      <c r="D616" t="s">
        <v>754</v>
      </c>
      <c r="E616" t="s">
        <v>646</v>
      </c>
      <c r="F616" t="s">
        <v>173</v>
      </c>
      <c r="G616" t="str">
        <f>VLOOKUP(F616,รายชื่อลูกบ้าน!$A:$B,2,FALSE)</f>
        <v>คุณพิริยะ ทรัพย์เจริญ-คุณเยาวเรศ โกสุมพิทักษ์</v>
      </c>
      <c r="H616" t="s">
        <v>424</v>
      </c>
      <c r="J616" s="23">
        <v>600</v>
      </c>
    </row>
    <row r="617" spans="1:10">
      <c r="A617" s="2">
        <v>242246</v>
      </c>
      <c r="B617" s="7" t="s">
        <v>34</v>
      </c>
      <c r="C617" s="3" t="str">
        <f>VLOOKUP(B617,'Accounts chart'!$A:$B,2,FALSE)</f>
        <v>รายรับค่าส่วนกลาง</v>
      </c>
      <c r="D617" t="s">
        <v>754</v>
      </c>
      <c r="E617" t="s">
        <v>647</v>
      </c>
      <c r="F617" t="s">
        <v>185</v>
      </c>
      <c r="G617" t="str">
        <f>VLOOKUP(F617,รายชื่อลูกบ้าน!$A:$B,2,FALSE)</f>
        <v>คุณชาญชัย ตนะศุภผล</v>
      </c>
      <c r="H617" t="s">
        <v>665</v>
      </c>
      <c r="J617" s="23">
        <v>600.54999999999995</v>
      </c>
    </row>
    <row r="618" spans="1:10">
      <c r="A618" s="2">
        <v>242246</v>
      </c>
      <c r="B618" s="7" t="s">
        <v>34</v>
      </c>
      <c r="C618" s="3" t="str">
        <f>VLOOKUP(B618,'Accounts chart'!$A:$B,2,FALSE)</f>
        <v>รายรับค่าส่วนกลาง</v>
      </c>
      <c r="D618" t="s">
        <v>754</v>
      </c>
      <c r="E618" t="s">
        <v>648</v>
      </c>
      <c r="F618" t="s">
        <v>348</v>
      </c>
      <c r="G618" t="str">
        <f>VLOOKUP(F618,รายชื่อลูกบ้าน!$A:$B,2,FALSE)</f>
        <v>คุณศักดิชัย ไชยเผือก</v>
      </c>
      <c r="H618" t="s">
        <v>401</v>
      </c>
      <c r="J618" s="23">
        <v>1800</v>
      </c>
    </row>
    <row r="619" spans="1:10">
      <c r="A619" s="2">
        <v>242246</v>
      </c>
      <c r="B619" s="7" t="s">
        <v>34</v>
      </c>
      <c r="C619" s="3" t="str">
        <f>VLOOKUP(B619,'Accounts chart'!$A:$B,2,FALSE)</f>
        <v>รายรับค่าส่วนกลาง</v>
      </c>
      <c r="D619" t="s">
        <v>754</v>
      </c>
      <c r="E619" t="s">
        <v>649</v>
      </c>
      <c r="F619" t="s">
        <v>201</v>
      </c>
      <c r="G619" t="str">
        <f>VLOOKUP(F619,รายชื่อลูกบ้าน!$A:$B,2,FALSE)</f>
        <v>คุณณัฐธีร์ เลิศรัตน์วัฒนา</v>
      </c>
      <c r="H619" t="s">
        <v>424</v>
      </c>
      <c r="J619" s="23">
        <v>600</v>
      </c>
    </row>
    <row r="620" spans="1:10">
      <c r="A620" s="2"/>
      <c r="C620" s="3"/>
    </row>
    <row r="621" spans="1:10">
      <c r="A621" s="2">
        <v>242247</v>
      </c>
      <c r="B621" s="7" t="s">
        <v>3</v>
      </c>
      <c r="C621" s="3" t="str">
        <f>VLOOKUP(B621,'Accounts chart'!$A:$B,2,FALSE)</f>
        <v>ธนาคารกสิกรไทย SA-040-1-56500-0</v>
      </c>
      <c r="D621" t="s">
        <v>755</v>
      </c>
      <c r="E621" t="s">
        <v>650</v>
      </c>
      <c r="F621" t="s">
        <v>323</v>
      </c>
      <c r="G621" t="str">
        <f>VLOOKUP(F621,รายชื่อลูกบ้าน!$A:$B,2,FALSE)</f>
        <v>คุณเกียงไกร ไชยเดช</v>
      </c>
      <c r="H621" t="s">
        <v>424</v>
      </c>
      <c r="I621" s="23">
        <v>600</v>
      </c>
    </row>
    <row r="622" spans="1:10">
      <c r="A622" s="2">
        <v>242247</v>
      </c>
      <c r="B622" s="7" t="s">
        <v>3</v>
      </c>
      <c r="C622" s="3" t="str">
        <f>VLOOKUP(B622,'Accounts chart'!$A:$B,2,FALSE)</f>
        <v>ธนาคารกสิกรไทย SA-040-1-56500-0</v>
      </c>
      <c r="D622" t="s">
        <v>755</v>
      </c>
      <c r="E622" t="s">
        <v>651</v>
      </c>
      <c r="F622" t="s">
        <v>72</v>
      </c>
      <c r="G622" t="str">
        <f>VLOOKUP(F622,รายชื่อลูกบ้าน!$A:$B,2,FALSE)</f>
        <v>คุณวรวุฒิ นาทอง</v>
      </c>
      <c r="H622" t="s">
        <v>424</v>
      </c>
      <c r="I622" s="23">
        <v>600</v>
      </c>
    </row>
    <row r="623" spans="1:10">
      <c r="A623" s="2">
        <v>242247</v>
      </c>
      <c r="B623" s="7" t="s">
        <v>3</v>
      </c>
      <c r="C623" s="3" t="str">
        <f>VLOOKUP(B623,'Accounts chart'!$A:$B,2,FALSE)</f>
        <v>ธนาคารกสิกรไทย SA-040-1-56500-0</v>
      </c>
      <c r="D623" t="s">
        <v>755</v>
      </c>
      <c r="E623" t="s">
        <v>652</v>
      </c>
      <c r="F623" t="s">
        <v>195</v>
      </c>
      <c r="G623" t="str">
        <f>VLOOKUP(F623,รายชื่อลูกบ้าน!$A:$B,2,FALSE)</f>
        <v>คุณชานนท์ นนทรังษี</v>
      </c>
      <c r="H623" t="s">
        <v>424</v>
      </c>
      <c r="I623" s="23">
        <v>600</v>
      </c>
    </row>
    <row r="624" spans="1:10">
      <c r="A624" s="2">
        <v>242247</v>
      </c>
      <c r="B624" s="7" t="s">
        <v>3</v>
      </c>
      <c r="C624" s="3" t="str">
        <f>VLOOKUP(B624,'Accounts chart'!$A:$B,2,FALSE)</f>
        <v>ธนาคารกสิกรไทย SA-040-1-56500-0</v>
      </c>
      <c r="D624" t="s">
        <v>755</v>
      </c>
      <c r="E624" t="s">
        <v>653</v>
      </c>
      <c r="F624" t="s">
        <v>163</v>
      </c>
      <c r="G624" t="str">
        <f>VLOOKUP(F624,รายชื่อลูกบ้าน!$A:$B,2,FALSE)</f>
        <v>คุณสุภาภรณ์ ใจตั้ง</v>
      </c>
      <c r="H624" t="s">
        <v>665</v>
      </c>
      <c r="I624" s="23">
        <v>600</v>
      </c>
    </row>
    <row r="625" spans="1:10">
      <c r="A625" s="2">
        <v>242247</v>
      </c>
      <c r="B625" s="7" t="s">
        <v>3</v>
      </c>
      <c r="C625" s="3" t="str">
        <f>VLOOKUP(B625,'Accounts chart'!$A:$B,2,FALSE)</f>
        <v>ธนาคารกสิกรไทย SA-040-1-56500-0</v>
      </c>
      <c r="D625" t="s">
        <v>755</v>
      </c>
      <c r="E625" t="s">
        <v>654</v>
      </c>
      <c r="F625" t="s">
        <v>364</v>
      </c>
      <c r="G625" t="str">
        <f>VLOOKUP(F625,รายชื่อลูกบ้าน!$A:$B,2,FALSE)</f>
        <v>คุณกิตติ แสวงภาค</v>
      </c>
      <c r="H625" t="s">
        <v>665</v>
      </c>
      <c r="I625" s="23">
        <v>600</v>
      </c>
    </row>
    <row r="626" spans="1:10">
      <c r="A626" s="2">
        <v>242247</v>
      </c>
      <c r="B626" s="7" t="s">
        <v>3</v>
      </c>
      <c r="C626" s="3" t="str">
        <f>VLOOKUP(B626,'Accounts chart'!$A:$B,2,FALSE)</f>
        <v>ธนาคารกสิกรไทย SA-040-1-56500-0</v>
      </c>
      <c r="D626" t="s">
        <v>755</v>
      </c>
      <c r="E626" t="s">
        <v>655</v>
      </c>
      <c r="F626" t="s">
        <v>69</v>
      </c>
      <c r="G626" t="str">
        <f>VLOOKUP(F626,รายชื่อลูกบ้าน!$A:$B,2,FALSE)</f>
        <v>คุณโกวิท-คุณศันสนีย์ รัตนมณี</v>
      </c>
      <c r="H626" t="s">
        <v>424</v>
      </c>
      <c r="I626" s="23">
        <v>600</v>
      </c>
    </row>
    <row r="627" spans="1:10">
      <c r="A627" s="2">
        <v>242247</v>
      </c>
      <c r="B627" s="7" t="s">
        <v>34</v>
      </c>
      <c r="C627" s="3" t="str">
        <f>VLOOKUP(B627,'Accounts chart'!$A:$B,2,FALSE)</f>
        <v>รายรับค่าส่วนกลาง</v>
      </c>
      <c r="D627" t="s">
        <v>755</v>
      </c>
      <c r="E627" t="s">
        <v>650</v>
      </c>
      <c r="F627" t="s">
        <v>323</v>
      </c>
      <c r="G627" t="str">
        <f>VLOOKUP(F627,รายชื่อลูกบ้าน!$A:$B,2,FALSE)</f>
        <v>คุณเกียงไกร ไชยเดช</v>
      </c>
      <c r="H627" t="s">
        <v>424</v>
      </c>
      <c r="J627" s="23">
        <v>600</v>
      </c>
    </row>
    <row r="628" spans="1:10">
      <c r="A628" s="2">
        <v>242247</v>
      </c>
      <c r="B628" s="7" t="s">
        <v>34</v>
      </c>
      <c r="C628" s="3" t="str">
        <f>VLOOKUP(B628,'Accounts chart'!$A:$B,2,FALSE)</f>
        <v>รายรับค่าส่วนกลาง</v>
      </c>
      <c r="D628" t="s">
        <v>755</v>
      </c>
      <c r="E628" t="s">
        <v>651</v>
      </c>
      <c r="F628" t="s">
        <v>72</v>
      </c>
      <c r="G628" t="str">
        <f>VLOOKUP(F628,รายชื่อลูกบ้าน!$A:$B,2,FALSE)</f>
        <v>คุณวรวุฒิ นาทอง</v>
      </c>
      <c r="H628" t="s">
        <v>424</v>
      </c>
      <c r="J628" s="23">
        <v>600</v>
      </c>
    </row>
    <row r="629" spans="1:10">
      <c r="A629" s="2">
        <v>242247</v>
      </c>
      <c r="B629" s="7" t="s">
        <v>34</v>
      </c>
      <c r="C629" s="3" t="str">
        <f>VLOOKUP(B629,'Accounts chart'!$A:$B,2,FALSE)</f>
        <v>รายรับค่าส่วนกลาง</v>
      </c>
      <c r="D629" t="s">
        <v>755</v>
      </c>
      <c r="E629" t="s">
        <v>652</v>
      </c>
      <c r="F629" t="s">
        <v>195</v>
      </c>
      <c r="G629" t="str">
        <f>VLOOKUP(F629,รายชื่อลูกบ้าน!$A:$B,2,FALSE)</f>
        <v>คุณชานนท์ นนทรังษี</v>
      </c>
      <c r="H629" t="s">
        <v>424</v>
      </c>
      <c r="J629" s="23">
        <v>600</v>
      </c>
    </row>
    <row r="630" spans="1:10">
      <c r="A630" s="2">
        <v>242247</v>
      </c>
      <c r="B630" s="7" t="s">
        <v>34</v>
      </c>
      <c r="C630" s="3" t="str">
        <f>VLOOKUP(B630,'Accounts chart'!$A:$B,2,FALSE)</f>
        <v>รายรับค่าส่วนกลาง</v>
      </c>
      <c r="D630" t="s">
        <v>755</v>
      </c>
      <c r="E630" t="s">
        <v>653</v>
      </c>
      <c r="F630" t="s">
        <v>163</v>
      </c>
      <c r="G630" t="str">
        <f>VLOOKUP(F630,รายชื่อลูกบ้าน!$A:$B,2,FALSE)</f>
        <v>คุณสุภาภรณ์ ใจตั้ง</v>
      </c>
      <c r="H630" t="s">
        <v>665</v>
      </c>
      <c r="J630" s="23">
        <v>600</v>
      </c>
    </row>
    <row r="631" spans="1:10">
      <c r="A631" s="2">
        <v>242247</v>
      </c>
      <c r="B631" s="7" t="s">
        <v>34</v>
      </c>
      <c r="C631" s="3" t="str">
        <f>VLOOKUP(B631,'Accounts chart'!$A:$B,2,FALSE)</f>
        <v>รายรับค่าส่วนกลาง</v>
      </c>
      <c r="D631" t="s">
        <v>755</v>
      </c>
      <c r="E631" t="s">
        <v>654</v>
      </c>
      <c r="F631" t="s">
        <v>364</v>
      </c>
      <c r="G631" t="str">
        <f>VLOOKUP(F631,รายชื่อลูกบ้าน!$A:$B,2,FALSE)</f>
        <v>คุณกิตติ แสวงภาค</v>
      </c>
      <c r="H631" t="s">
        <v>665</v>
      </c>
      <c r="J631" s="23">
        <v>600</v>
      </c>
    </row>
    <row r="632" spans="1:10">
      <c r="A632" s="2">
        <v>242247</v>
      </c>
      <c r="B632" s="7" t="s">
        <v>34</v>
      </c>
      <c r="C632" s="3" t="str">
        <f>VLOOKUP(B632,'Accounts chart'!$A:$B,2,FALSE)</f>
        <v>รายรับค่าส่วนกลาง</v>
      </c>
      <c r="D632" t="s">
        <v>755</v>
      </c>
      <c r="E632" t="s">
        <v>655</v>
      </c>
      <c r="F632" t="s">
        <v>69</v>
      </c>
      <c r="G632" t="str">
        <f>VLOOKUP(F632,รายชื่อลูกบ้าน!$A:$B,2,FALSE)</f>
        <v>คุณโกวิท-คุณศันสนีย์ รัตนมณี</v>
      </c>
      <c r="H632" t="s">
        <v>424</v>
      </c>
      <c r="J632" s="23">
        <v>600</v>
      </c>
    </row>
    <row r="634" spans="1:10">
      <c r="A634" s="2">
        <v>242247</v>
      </c>
      <c r="B634" s="7" t="s">
        <v>46</v>
      </c>
      <c r="C634" s="3" t="str">
        <f>VLOOKUP(B634,'Accounts chart'!$A:$B,2,FALSE)</f>
        <v>ค่าดูแลส่วนกลาง</v>
      </c>
      <c r="D634" t="s">
        <v>962</v>
      </c>
      <c r="H634" t="s">
        <v>963</v>
      </c>
      <c r="I634" s="23">
        <v>15000</v>
      </c>
    </row>
    <row r="635" spans="1:10">
      <c r="A635" s="2">
        <v>242247</v>
      </c>
      <c r="B635" s="7" t="s">
        <v>48</v>
      </c>
      <c r="C635" s="3" t="str">
        <f>VLOOKUP(B635,'Accounts chart'!$A:$B,2,FALSE)</f>
        <v>ค่ารักษาความปลอดภัย</v>
      </c>
      <c r="D635" t="s">
        <v>962</v>
      </c>
      <c r="H635" t="s">
        <v>963</v>
      </c>
      <c r="I635" s="23">
        <v>38814.32</v>
      </c>
    </row>
    <row r="636" spans="1:10">
      <c r="A636" s="2">
        <v>242247</v>
      </c>
      <c r="B636" s="7" t="s">
        <v>50</v>
      </c>
      <c r="C636" s="3" t="str">
        <f>VLOOKUP(B636,'Accounts chart'!$A:$B,2,FALSE)</f>
        <v>ค่าเก็บขยะ</v>
      </c>
      <c r="D636" t="s">
        <v>962</v>
      </c>
      <c r="H636" t="s">
        <v>963</v>
      </c>
      <c r="I636" s="23">
        <v>3000</v>
      </c>
    </row>
    <row r="637" spans="1:10">
      <c r="A637" s="2">
        <v>242247</v>
      </c>
      <c r="B637" s="7" t="s">
        <v>52</v>
      </c>
      <c r="C637" s="3" t="str">
        <f>VLOOKUP(B637,'Accounts chart'!$A:$B,2,FALSE)</f>
        <v>ค่าบริการดูแลสระว่ายน้ำ</v>
      </c>
      <c r="D637" t="s">
        <v>962</v>
      </c>
      <c r="H637" t="s">
        <v>963</v>
      </c>
      <c r="I637" s="23">
        <v>7500</v>
      </c>
    </row>
    <row r="638" spans="1:10">
      <c r="A638" s="2">
        <v>242247</v>
      </c>
      <c r="B638" s="7" t="s">
        <v>54</v>
      </c>
      <c r="C638" s="3" t="str">
        <f>VLOOKUP(B638,'Accounts chart'!$A:$B,2,FALSE)</f>
        <v>ค่าไฟฟ้า</v>
      </c>
      <c r="D638" t="s">
        <v>962</v>
      </c>
      <c r="H638" t="s">
        <v>963</v>
      </c>
      <c r="I638" s="23">
        <v>6231.77</v>
      </c>
    </row>
    <row r="639" spans="1:10">
      <c r="A639" s="2">
        <v>242247</v>
      </c>
      <c r="B639" s="7" t="s">
        <v>22</v>
      </c>
      <c r="C639" s="3" t="str">
        <f>VLOOKUP(B639,'Accounts chart'!$A:$B,2,FALSE)</f>
        <v>ค่าดูแลส่วนกลางค้างจ่าย</v>
      </c>
      <c r="D639" t="s">
        <v>962</v>
      </c>
      <c r="H639" t="s">
        <v>963</v>
      </c>
      <c r="J639" s="23">
        <v>15000</v>
      </c>
    </row>
    <row r="640" spans="1:10">
      <c r="A640" s="2">
        <v>242247</v>
      </c>
      <c r="B640" s="7" t="s">
        <v>18</v>
      </c>
      <c r="C640" s="3" t="str">
        <f>VLOOKUP(B640,'Accounts chart'!$A:$B,2,FALSE)</f>
        <v>ค่ารักษาความปลอดภัยค้างจ่าย</v>
      </c>
      <c r="D640" t="s">
        <v>962</v>
      </c>
      <c r="H640" t="s">
        <v>963</v>
      </c>
      <c r="J640" s="23">
        <v>38814.32</v>
      </c>
    </row>
    <row r="641" spans="1:10">
      <c r="A641" s="2">
        <v>242247</v>
      </c>
      <c r="B641" s="7" t="s">
        <v>14</v>
      </c>
      <c r="C641" s="3" t="str">
        <f>VLOOKUP(B641,'Accounts chart'!$A:$B,2,FALSE)</f>
        <v>ค่าเก็บขยะค้างจ่าย</v>
      </c>
      <c r="D641" t="s">
        <v>962</v>
      </c>
      <c r="H641" t="s">
        <v>963</v>
      </c>
      <c r="J641" s="23">
        <v>3000</v>
      </c>
    </row>
    <row r="642" spans="1:10">
      <c r="A642" s="2">
        <v>242247</v>
      </c>
      <c r="B642" s="7" t="s">
        <v>16</v>
      </c>
      <c r="C642" s="3" t="str">
        <f>VLOOKUP(B642,'Accounts chart'!$A:$B,2,FALSE)</f>
        <v>ค่าบริการดูแลสระว่ายน้ำค้างจ่าย</v>
      </c>
      <c r="D642" t="s">
        <v>962</v>
      </c>
      <c r="H642" t="s">
        <v>963</v>
      </c>
      <c r="J642" s="23">
        <v>7500</v>
      </c>
    </row>
    <row r="643" spans="1:10">
      <c r="A643" s="2">
        <v>242247</v>
      </c>
      <c r="B643" s="7" t="s">
        <v>20</v>
      </c>
      <c r="C643" s="3" t="str">
        <f>VLOOKUP(B643,'Accounts chart'!$A:$B,2,FALSE)</f>
        <v>ค่าไฟฟ้าค้างจ่าย</v>
      </c>
      <c r="D643" t="s">
        <v>962</v>
      </c>
      <c r="H643" t="s">
        <v>963</v>
      </c>
      <c r="J643" s="23">
        <v>6231.77</v>
      </c>
    </row>
    <row r="644" spans="1:10">
      <c r="A644" s="2"/>
      <c r="C644" s="3"/>
    </row>
    <row r="645" spans="1:10">
      <c r="A645" s="2">
        <v>242247</v>
      </c>
      <c r="B645" s="7" t="s">
        <v>0</v>
      </c>
      <c r="C645" s="3" t="str">
        <f>VLOOKUP(B645,'Accounts chart'!$A:$B,2,FALSE)</f>
        <v>เงินสด</v>
      </c>
      <c r="D645" t="s">
        <v>981</v>
      </c>
      <c r="F645" t="s">
        <v>979</v>
      </c>
      <c r="G645" t="s">
        <v>792</v>
      </c>
      <c r="H645" t="s">
        <v>978</v>
      </c>
      <c r="I645" s="23">
        <v>2</v>
      </c>
    </row>
    <row r="646" spans="1:10">
      <c r="A646" s="2">
        <v>242247</v>
      </c>
      <c r="B646" s="7" t="s">
        <v>976</v>
      </c>
      <c r="C646" s="3" t="str">
        <f>VLOOKUP(B646,'Accounts chart'!$A:$B,2,FALSE)</f>
        <v>ค่าใช้จ่ายเบ็ดเตล็ด</v>
      </c>
      <c r="D646" t="s">
        <v>981</v>
      </c>
      <c r="F646" t="s">
        <v>979</v>
      </c>
      <c r="G646" t="s">
        <v>792</v>
      </c>
      <c r="H646" t="s">
        <v>978</v>
      </c>
      <c r="I646" s="23">
        <f>5000+1300+1800+129+759+800+90+15+105</f>
        <v>9998</v>
      </c>
    </row>
    <row r="647" spans="1:10">
      <c r="A647" s="2">
        <v>242247</v>
      </c>
      <c r="B647" s="7" t="s">
        <v>8</v>
      </c>
      <c r="C647" s="3" t="str">
        <f>VLOOKUP(B647,'Accounts chart'!$A:$B,2,FALSE)</f>
        <v>เงินทดลองจ่าย (สำรองจ่าย)</v>
      </c>
      <c r="D647" t="s">
        <v>981</v>
      </c>
      <c r="F647" t="s">
        <v>979</v>
      </c>
      <c r="G647" t="s">
        <v>792</v>
      </c>
      <c r="H647" t="s">
        <v>978</v>
      </c>
      <c r="J647" s="23">
        <v>10000</v>
      </c>
    </row>
    <row r="649" spans="1:10">
      <c r="A649" s="2">
        <v>242248</v>
      </c>
      <c r="B649" s="7" t="s">
        <v>3</v>
      </c>
      <c r="C649" s="3" t="str">
        <f>VLOOKUP(B649,'Accounts chart'!$A:$B,2,FALSE)</f>
        <v>ธนาคารกสิกรไทย SA-040-1-56500-0</v>
      </c>
      <c r="D649" t="s">
        <v>756</v>
      </c>
      <c r="E649" t="s">
        <v>666</v>
      </c>
      <c r="F649" t="s">
        <v>122</v>
      </c>
      <c r="G649" t="str">
        <f>VLOOKUP(F649,รายชื่อลูกบ้าน!$A:$B,2,FALSE)</f>
        <v>คุณศิวกร รัตนประดิษฐ์</v>
      </c>
      <c r="H649" t="s">
        <v>665</v>
      </c>
      <c r="I649" s="23">
        <v>600</v>
      </c>
    </row>
    <row r="650" spans="1:10">
      <c r="A650" s="2">
        <v>242248</v>
      </c>
      <c r="B650" s="7" t="s">
        <v>3</v>
      </c>
      <c r="C650" s="3" t="str">
        <f>VLOOKUP(B650,'Accounts chart'!$A:$B,2,FALSE)</f>
        <v>ธนาคารกสิกรไทย SA-040-1-56500-0</v>
      </c>
      <c r="D650" t="s">
        <v>756</v>
      </c>
      <c r="E650" t="s">
        <v>667</v>
      </c>
      <c r="F650" t="s">
        <v>225</v>
      </c>
      <c r="G650" t="str">
        <f>VLOOKUP(F650,รายชื่อลูกบ้าน!$A:$B,2,FALSE)</f>
        <v>คุณถวิล เคสา</v>
      </c>
      <c r="H650" t="s">
        <v>665</v>
      </c>
      <c r="I650" s="23">
        <v>600</v>
      </c>
    </row>
    <row r="651" spans="1:10">
      <c r="A651" s="2">
        <v>242248</v>
      </c>
      <c r="B651" s="7" t="s">
        <v>3</v>
      </c>
      <c r="C651" s="3" t="str">
        <f>VLOOKUP(B651,'Accounts chart'!$A:$B,2,FALSE)</f>
        <v>ธนาคารกสิกรไทย SA-040-1-56500-0</v>
      </c>
      <c r="D651" t="s">
        <v>756</v>
      </c>
      <c r="E651" t="s">
        <v>668</v>
      </c>
      <c r="F651" t="s">
        <v>313</v>
      </c>
      <c r="G651" t="str">
        <f>VLOOKUP(F651,รายชื่อลูกบ้าน!$A:$B,2,FALSE)</f>
        <v>คุณภานุมาศ ธนาธรศิริยุทธ์</v>
      </c>
      <c r="H651" t="s">
        <v>665</v>
      </c>
      <c r="I651" s="23">
        <v>600</v>
      </c>
    </row>
    <row r="652" spans="1:10">
      <c r="A652" s="2">
        <v>242248</v>
      </c>
      <c r="B652" s="7" t="s">
        <v>3</v>
      </c>
      <c r="C652" s="3" t="str">
        <f>VLOOKUP(B652,'Accounts chart'!$A:$B,2,FALSE)</f>
        <v>ธนาคารกสิกรไทย SA-040-1-56500-0</v>
      </c>
      <c r="D652" t="s">
        <v>756</v>
      </c>
      <c r="E652" t="s">
        <v>669</v>
      </c>
      <c r="F652" t="s">
        <v>107</v>
      </c>
      <c r="G652" t="str">
        <f>VLOOKUP(F652,รายชื่อลูกบ้าน!$A:$B,2,FALSE)</f>
        <v>คุณอนันต์ แจ่มจันทร์</v>
      </c>
      <c r="H652" t="s">
        <v>665</v>
      </c>
      <c r="I652" s="23">
        <v>600</v>
      </c>
    </row>
    <row r="653" spans="1:10">
      <c r="A653" s="2">
        <v>242248</v>
      </c>
      <c r="B653" s="7" t="s">
        <v>3</v>
      </c>
      <c r="C653" s="3" t="str">
        <f>VLOOKUP(B653,'Accounts chart'!$A:$B,2,FALSE)</f>
        <v>ธนาคารกสิกรไทย SA-040-1-56500-0</v>
      </c>
      <c r="D653" t="s">
        <v>756</v>
      </c>
      <c r="E653" t="s">
        <v>670</v>
      </c>
      <c r="F653" t="s">
        <v>101</v>
      </c>
      <c r="G653" t="str">
        <f>VLOOKUP(F653,รายชื่อลูกบ้าน!$A:$B,2,FALSE)</f>
        <v>คุณเฉลิมเกียรติ และนางนันริญา ราชนาจันทร์</v>
      </c>
      <c r="H653" t="s">
        <v>424</v>
      </c>
      <c r="I653" s="23">
        <v>600</v>
      </c>
    </row>
    <row r="654" spans="1:10">
      <c r="A654" s="2">
        <v>242248</v>
      </c>
      <c r="B654" s="7" t="s">
        <v>3</v>
      </c>
      <c r="C654" s="3" t="str">
        <f>VLOOKUP(B654,'Accounts chart'!$A:$B,2,FALSE)</f>
        <v>ธนาคารกสิกรไทย SA-040-1-56500-0</v>
      </c>
      <c r="D654" t="s">
        <v>756</v>
      </c>
      <c r="E654" t="s">
        <v>671</v>
      </c>
      <c r="F654" t="s">
        <v>233</v>
      </c>
      <c r="G654" t="str">
        <f>VLOOKUP(F654,รายชื่อลูกบ้าน!$A:$B,2,FALSE)</f>
        <v>คุณวิทยา วัดเข้าหลาม</v>
      </c>
      <c r="H654" t="s">
        <v>665</v>
      </c>
      <c r="I654" s="23">
        <v>600.80999999999995</v>
      </c>
    </row>
    <row r="655" spans="1:10">
      <c r="A655" s="2">
        <v>242248</v>
      </c>
      <c r="B655" s="7" t="s">
        <v>3</v>
      </c>
      <c r="C655" s="3" t="str">
        <f>VLOOKUP(B655,'Accounts chart'!$A:$B,2,FALSE)</f>
        <v>ธนาคารกสิกรไทย SA-040-1-56500-0</v>
      </c>
      <c r="D655" t="s">
        <v>756</v>
      </c>
      <c r="E655" t="s">
        <v>672</v>
      </c>
      <c r="F655" t="s">
        <v>236</v>
      </c>
      <c r="G655" t="str">
        <f>VLOOKUP(F655,รายชื่อลูกบ้าน!$A:$B,2,FALSE)</f>
        <v>คุณพงษ์พิชญ์-คุณชลธิดา บุญศิริ</v>
      </c>
      <c r="H655" t="s">
        <v>424</v>
      </c>
      <c r="I655" s="23">
        <v>600</v>
      </c>
    </row>
    <row r="656" spans="1:10">
      <c r="A656" s="2">
        <v>242248</v>
      </c>
      <c r="B656" s="7" t="s">
        <v>3</v>
      </c>
      <c r="C656" s="3" t="str">
        <f>VLOOKUP(B656,'Accounts chart'!$A:$B,2,FALSE)</f>
        <v>ธนาคารกสิกรไทย SA-040-1-56500-0</v>
      </c>
      <c r="D656" t="s">
        <v>756</v>
      </c>
      <c r="E656" t="s">
        <v>673</v>
      </c>
      <c r="F656" t="s">
        <v>161</v>
      </c>
      <c r="G656" t="str">
        <f>VLOOKUP(F656,รายชื่อลูกบ้าน!$A:$B,2,FALSE)</f>
        <v>คุณพงษ์พัฒนา มาบุญ</v>
      </c>
      <c r="H656" t="s">
        <v>424</v>
      </c>
      <c r="I656" s="23">
        <v>600</v>
      </c>
    </row>
    <row r="657" spans="1:10">
      <c r="A657" s="2">
        <v>242248</v>
      </c>
      <c r="B657" s="7" t="s">
        <v>34</v>
      </c>
      <c r="C657" s="3" t="str">
        <f>VLOOKUP(B657,'Accounts chart'!$A:$B,2,FALSE)</f>
        <v>รายรับค่าส่วนกลาง</v>
      </c>
      <c r="D657" t="s">
        <v>756</v>
      </c>
      <c r="E657" t="s">
        <v>666</v>
      </c>
      <c r="F657" t="s">
        <v>122</v>
      </c>
      <c r="G657" t="str">
        <f>VLOOKUP(F657,รายชื่อลูกบ้าน!$A:$B,2,FALSE)</f>
        <v>คุณศิวกร รัตนประดิษฐ์</v>
      </c>
      <c r="H657" t="s">
        <v>665</v>
      </c>
      <c r="J657" s="23">
        <v>600</v>
      </c>
    </row>
    <row r="658" spans="1:10">
      <c r="A658" s="2">
        <v>242248</v>
      </c>
      <c r="B658" s="7" t="s">
        <v>34</v>
      </c>
      <c r="C658" s="3" t="str">
        <f>VLOOKUP(B658,'Accounts chart'!$A:$B,2,FALSE)</f>
        <v>รายรับค่าส่วนกลาง</v>
      </c>
      <c r="D658" t="s">
        <v>756</v>
      </c>
      <c r="E658" t="s">
        <v>667</v>
      </c>
      <c r="F658" t="s">
        <v>225</v>
      </c>
      <c r="G658" t="str">
        <f>VLOOKUP(F658,รายชื่อลูกบ้าน!$A:$B,2,FALSE)</f>
        <v>คุณถวิล เคสา</v>
      </c>
      <c r="H658" t="s">
        <v>665</v>
      </c>
      <c r="J658" s="23">
        <v>600</v>
      </c>
    </row>
    <row r="659" spans="1:10">
      <c r="A659" s="2">
        <v>242248</v>
      </c>
      <c r="B659" s="7" t="s">
        <v>34</v>
      </c>
      <c r="C659" s="3" t="str">
        <f>VLOOKUP(B659,'Accounts chart'!$A:$B,2,FALSE)</f>
        <v>รายรับค่าส่วนกลาง</v>
      </c>
      <c r="D659" t="s">
        <v>756</v>
      </c>
      <c r="E659" t="s">
        <v>668</v>
      </c>
      <c r="F659" t="s">
        <v>313</v>
      </c>
      <c r="G659" t="str">
        <f>VLOOKUP(F659,รายชื่อลูกบ้าน!$A:$B,2,FALSE)</f>
        <v>คุณภานุมาศ ธนาธรศิริยุทธ์</v>
      </c>
      <c r="H659" t="s">
        <v>665</v>
      </c>
      <c r="J659" s="23">
        <v>600</v>
      </c>
    </row>
    <row r="660" spans="1:10">
      <c r="A660" s="2">
        <v>242248</v>
      </c>
      <c r="B660" s="7" t="s">
        <v>34</v>
      </c>
      <c r="C660" s="3" t="str">
        <f>VLOOKUP(B660,'Accounts chart'!$A:$B,2,FALSE)</f>
        <v>รายรับค่าส่วนกลาง</v>
      </c>
      <c r="D660" t="s">
        <v>756</v>
      </c>
      <c r="E660" t="s">
        <v>669</v>
      </c>
      <c r="F660" t="s">
        <v>107</v>
      </c>
      <c r="G660" t="str">
        <f>VLOOKUP(F660,รายชื่อลูกบ้าน!$A:$B,2,FALSE)</f>
        <v>คุณอนันต์ แจ่มจันทร์</v>
      </c>
      <c r="H660" t="s">
        <v>665</v>
      </c>
      <c r="J660" s="23">
        <v>600</v>
      </c>
    </row>
    <row r="661" spans="1:10">
      <c r="A661" s="2">
        <v>242248</v>
      </c>
      <c r="B661" s="7" t="s">
        <v>34</v>
      </c>
      <c r="C661" s="3" t="str">
        <f>VLOOKUP(B661,'Accounts chart'!$A:$B,2,FALSE)</f>
        <v>รายรับค่าส่วนกลาง</v>
      </c>
      <c r="D661" t="s">
        <v>756</v>
      </c>
      <c r="E661" t="s">
        <v>670</v>
      </c>
      <c r="F661" t="s">
        <v>101</v>
      </c>
      <c r="G661" t="str">
        <f>VLOOKUP(F661,รายชื่อลูกบ้าน!$A:$B,2,FALSE)</f>
        <v>คุณเฉลิมเกียรติ และนางนันริญา ราชนาจันทร์</v>
      </c>
      <c r="H661" t="s">
        <v>424</v>
      </c>
      <c r="J661" s="23">
        <v>600</v>
      </c>
    </row>
    <row r="662" spans="1:10">
      <c r="A662" s="2">
        <v>242248</v>
      </c>
      <c r="B662" s="7" t="s">
        <v>34</v>
      </c>
      <c r="C662" s="3" t="str">
        <f>VLOOKUP(B662,'Accounts chart'!$A:$B,2,FALSE)</f>
        <v>รายรับค่าส่วนกลาง</v>
      </c>
      <c r="D662" t="s">
        <v>756</v>
      </c>
      <c r="E662" t="s">
        <v>671</v>
      </c>
      <c r="F662" t="s">
        <v>233</v>
      </c>
      <c r="G662" t="str">
        <f>VLOOKUP(F662,รายชื่อลูกบ้าน!$A:$B,2,FALSE)</f>
        <v>คุณวิทยา วัดเข้าหลาม</v>
      </c>
      <c r="H662" t="s">
        <v>665</v>
      </c>
      <c r="J662" s="23">
        <v>600.80999999999995</v>
      </c>
    </row>
    <row r="663" spans="1:10">
      <c r="A663" s="2">
        <v>242248</v>
      </c>
      <c r="B663" s="7" t="s">
        <v>34</v>
      </c>
      <c r="C663" s="3" t="str">
        <f>VLOOKUP(B663,'Accounts chart'!$A:$B,2,FALSE)</f>
        <v>รายรับค่าส่วนกลาง</v>
      </c>
      <c r="D663" t="s">
        <v>756</v>
      </c>
      <c r="E663" t="s">
        <v>672</v>
      </c>
      <c r="F663" t="s">
        <v>236</v>
      </c>
      <c r="G663" t="str">
        <f>VLOOKUP(F663,รายชื่อลูกบ้าน!$A:$B,2,FALSE)</f>
        <v>คุณพงษ์พิชญ์-คุณชลธิดา บุญศิริ</v>
      </c>
      <c r="H663" t="s">
        <v>424</v>
      </c>
      <c r="J663" s="23">
        <v>600</v>
      </c>
    </row>
    <row r="664" spans="1:10">
      <c r="A664" s="2">
        <v>242248</v>
      </c>
      <c r="B664" s="7" t="s">
        <v>34</v>
      </c>
      <c r="C664" s="3" t="str">
        <f>VLOOKUP(B664,'Accounts chart'!$A:$B,2,FALSE)</f>
        <v>รายรับค่าส่วนกลาง</v>
      </c>
      <c r="D664" t="s">
        <v>756</v>
      </c>
      <c r="E664" t="s">
        <v>673</v>
      </c>
      <c r="F664" t="s">
        <v>161</v>
      </c>
      <c r="G664" t="str">
        <f>VLOOKUP(F664,รายชื่อลูกบ้าน!$A:$B,2,FALSE)</f>
        <v>คุณพงษ์พัฒนา มาบุญ</v>
      </c>
      <c r="H664" t="s">
        <v>424</v>
      </c>
      <c r="J664" s="23">
        <v>600</v>
      </c>
    </row>
    <row r="665" spans="1:10">
      <c r="A665" s="2"/>
      <c r="C665" s="3"/>
    </row>
    <row r="666" spans="1:10">
      <c r="A666" s="2"/>
      <c r="C666" s="3"/>
    </row>
    <row r="667" spans="1:10">
      <c r="A667" s="2">
        <v>242249</v>
      </c>
      <c r="B667" s="7" t="s">
        <v>3</v>
      </c>
      <c r="C667" s="3" t="str">
        <f>VLOOKUP(B667,'Accounts chart'!$A:$B,2,FALSE)</f>
        <v>ธนาคารกสิกรไทย SA-040-1-56500-0</v>
      </c>
      <c r="D667" t="s">
        <v>757</v>
      </c>
      <c r="E667" t="s">
        <v>674</v>
      </c>
      <c r="F667" t="s">
        <v>207</v>
      </c>
      <c r="G667" t="str">
        <f>VLOOKUP(F667,รายชื่อลูกบ้าน!$A:$B,2,FALSE)</f>
        <v>คุณกิตติภูมิ กาญจนจิรวงศ์</v>
      </c>
      <c r="H667" t="s">
        <v>424</v>
      </c>
      <c r="I667" s="23">
        <v>600</v>
      </c>
    </row>
    <row r="668" spans="1:10">
      <c r="A668" s="2">
        <v>242249</v>
      </c>
      <c r="B668" s="7" t="s">
        <v>3</v>
      </c>
      <c r="C668" s="3" t="str">
        <f>VLOOKUP(B668,'Accounts chart'!$A:$B,2,FALSE)</f>
        <v>ธนาคารกสิกรไทย SA-040-1-56500-0</v>
      </c>
      <c r="D668" t="s">
        <v>757</v>
      </c>
      <c r="E668" t="s">
        <v>675</v>
      </c>
      <c r="F668" t="s">
        <v>109</v>
      </c>
      <c r="G668" t="str">
        <f>VLOOKUP(F668,รายชื่อลูกบ้าน!$A:$B,2,FALSE)</f>
        <v>คุณพัฒนชญา+คุณธิตินันท์ วงค์บุปผา</v>
      </c>
      <c r="H668" t="s">
        <v>665</v>
      </c>
      <c r="I668" s="23">
        <v>600</v>
      </c>
    </row>
    <row r="669" spans="1:10">
      <c r="A669" s="2">
        <v>242249</v>
      </c>
      <c r="B669" s="7" t="s">
        <v>3</v>
      </c>
      <c r="C669" s="3" t="str">
        <f>VLOOKUP(B669,'Accounts chart'!$A:$B,2,FALSE)</f>
        <v>ธนาคารกสิกรไทย SA-040-1-56500-0</v>
      </c>
      <c r="D669" t="s">
        <v>757</v>
      </c>
      <c r="E669" t="s">
        <v>676</v>
      </c>
      <c r="F669" t="s">
        <v>167</v>
      </c>
      <c r="G669" t="str">
        <f>VLOOKUP(F669,รายชื่อลูกบ้าน!$A:$B,2,FALSE)</f>
        <v>คุณคฑาวุธ พิมลศรี</v>
      </c>
      <c r="H669" t="s">
        <v>424</v>
      </c>
      <c r="I669" s="23">
        <v>600</v>
      </c>
    </row>
    <row r="670" spans="1:10">
      <c r="A670" s="2">
        <v>242249</v>
      </c>
      <c r="B670" s="7" t="s">
        <v>3</v>
      </c>
      <c r="C670" s="3" t="str">
        <f>VLOOKUP(B670,'Accounts chart'!$A:$B,2,FALSE)</f>
        <v>ธนาคารกสิกรไทย SA-040-1-56500-0</v>
      </c>
      <c r="D670" t="s">
        <v>757</v>
      </c>
      <c r="E670" t="s">
        <v>677</v>
      </c>
      <c r="F670" t="s">
        <v>279</v>
      </c>
      <c r="G670" t="str">
        <f>VLOOKUP(F670,รายชื่อลูกบ้าน!$A:$B,2,FALSE)</f>
        <v>คุณเสกสิทธิ์ คำธานี</v>
      </c>
      <c r="H670" t="s">
        <v>424</v>
      </c>
      <c r="I670" s="23">
        <v>600</v>
      </c>
    </row>
    <row r="671" spans="1:10">
      <c r="A671" s="2">
        <v>242249</v>
      </c>
      <c r="B671" s="7" t="s">
        <v>34</v>
      </c>
      <c r="C671" s="3" t="str">
        <f>VLOOKUP(B671,'Accounts chart'!$A:$B,2,FALSE)</f>
        <v>รายรับค่าส่วนกลาง</v>
      </c>
      <c r="D671" t="s">
        <v>757</v>
      </c>
      <c r="E671" t="s">
        <v>674</v>
      </c>
      <c r="F671" t="s">
        <v>207</v>
      </c>
      <c r="G671" t="str">
        <f>VLOOKUP(F671,รายชื่อลูกบ้าน!$A:$B,2,FALSE)</f>
        <v>คุณกิตติภูมิ กาญจนจิรวงศ์</v>
      </c>
      <c r="H671" t="s">
        <v>424</v>
      </c>
      <c r="J671" s="23">
        <v>600</v>
      </c>
    </row>
    <row r="672" spans="1:10">
      <c r="A672" s="2">
        <v>242249</v>
      </c>
      <c r="B672" s="7" t="s">
        <v>34</v>
      </c>
      <c r="C672" s="3" t="str">
        <f>VLOOKUP(B672,'Accounts chart'!$A:$B,2,FALSE)</f>
        <v>รายรับค่าส่วนกลาง</v>
      </c>
      <c r="D672" t="s">
        <v>757</v>
      </c>
      <c r="E672" t="s">
        <v>675</v>
      </c>
      <c r="F672" t="s">
        <v>109</v>
      </c>
      <c r="G672" t="str">
        <f>VLOOKUP(F672,รายชื่อลูกบ้าน!$A:$B,2,FALSE)</f>
        <v>คุณพัฒนชญา+คุณธิตินันท์ วงค์บุปผา</v>
      </c>
      <c r="H672" t="s">
        <v>665</v>
      </c>
      <c r="J672" s="23">
        <v>600</v>
      </c>
    </row>
    <row r="673" spans="1:10">
      <c r="A673" s="2">
        <v>242249</v>
      </c>
      <c r="B673" s="7" t="s">
        <v>34</v>
      </c>
      <c r="C673" s="3" t="str">
        <f>VLOOKUP(B673,'Accounts chart'!$A:$B,2,FALSE)</f>
        <v>รายรับค่าส่วนกลาง</v>
      </c>
      <c r="D673" t="s">
        <v>757</v>
      </c>
      <c r="E673" t="s">
        <v>676</v>
      </c>
      <c r="F673" t="s">
        <v>167</v>
      </c>
      <c r="G673" t="str">
        <f>VLOOKUP(F673,รายชื่อลูกบ้าน!$A:$B,2,FALSE)</f>
        <v>คุณคฑาวุธ พิมลศรี</v>
      </c>
      <c r="H673" t="s">
        <v>424</v>
      </c>
      <c r="J673" s="23">
        <v>600</v>
      </c>
    </row>
    <row r="674" spans="1:10">
      <c r="A674" s="2">
        <v>242249</v>
      </c>
      <c r="B674" s="7" t="s">
        <v>34</v>
      </c>
      <c r="C674" s="3" t="str">
        <f>VLOOKUP(B674,'Accounts chart'!$A:$B,2,FALSE)</f>
        <v>รายรับค่าส่วนกลาง</v>
      </c>
      <c r="D674" t="s">
        <v>757</v>
      </c>
      <c r="E674" t="s">
        <v>677</v>
      </c>
      <c r="F674" t="s">
        <v>279</v>
      </c>
      <c r="G674" t="str">
        <f>VLOOKUP(F674,รายชื่อลูกบ้าน!$A:$B,2,FALSE)</f>
        <v>คุณเสกสิทธิ์ คำธานี</v>
      </c>
      <c r="H674" t="s">
        <v>424</v>
      </c>
      <c r="J674" s="23">
        <v>600</v>
      </c>
    </row>
    <row r="675" spans="1:10">
      <c r="A675" s="2"/>
      <c r="C675" s="3"/>
    </row>
    <row r="676" spans="1:10">
      <c r="A676" s="2">
        <v>242249</v>
      </c>
      <c r="B676" s="7" t="s">
        <v>20</v>
      </c>
      <c r="C676" s="3" t="str">
        <f>VLOOKUP(B676,'Accounts chart'!$A:$B,2,FALSE)</f>
        <v>ค่าไฟฟ้าค้างจ่าย</v>
      </c>
      <c r="D676" t="s">
        <v>936</v>
      </c>
      <c r="G676" t="s">
        <v>777</v>
      </c>
      <c r="H676" t="s">
        <v>935</v>
      </c>
      <c r="I676" s="20">
        <v>6231.77</v>
      </c>
      <c r="J676" s="20"/>
    </row>
    <row r="677" spans="1:10">
      <c r="A677" s="2">
        <v>242249</v>
      </c>
      <c r="B677" s="7" t="s">
        <v>2</v>
      </c>
      <c r="C677" s="3" t="str">
        <f>VLOOKUP(B677,'Accounts chart'!$A:$B,2,FALSE)</f>
        <v>ธนาคารกสิกรไทย CA-040-1-57563-4</v>
      </c>
      <c r="D677" t="s">
        <v>936</v>
      </c>
      <c r="G677" t="s">
        <v>777</v>
      </c>
      <c r="H677" t="s">
        <v>935</v>
      </c>
      <c r="I677" s="20"/>
      <c r="J677" s="20">
        <v>6231.77</v>
      </c>
    </row>
    <row r="678" spans="1:10">
      <c r="A678" s="2"/>
      <c r="C678" s="3"/>
    </row>
    <row r="679" spans="1:10">
      <c r="A679" s="2">
        <v>242249</v>
      </c>
      <c r="B679" s="7" t="s">
        <v>42</v>
      </c>
      <c r="C679" s="3" t="str">
        <f>VLOOKUP(B679,'Accounts chart'!$A:$B,2,FALSE)</f>
        <v>ค่าอะไหล่ซ่อมบำรุงและค่าซ่อมแซมอื่นๆ</v>
      </c>
      <c r="D679" t="s">
        <v>937</v>
      </c>
      <c r="G679" t="s">
        <v>775</v>
      </c>
      <c r="H679" t="s">
        <v>938</v>
      </c>
      <c r="I679" s="20">
        <v>1712</v>
      </c>
      <c r="J679" s="20"/>
    </row>
    <row r="680" spans="1:10">
      <c r="A680" s="2">
        <v>242249</v>
      </c>
      <c r="B680" s="7" t="s">
        <v>2</v>
      </c>
      <c r="C680" s="3" t="str">
        <f>VLOOKUP(B680,'Accounts chart'!$A:$B,2,FALSE)</f>
        <v>ธนาคารกสิกรไทย CA-040-1-57563-4</v>
      </c>
      <c r="D680" t="s">
        <v>937</v>
      </c>
      <c r="G680" t="s">
        <v>775</v>
      </c>
      <c r="H680" t="s">
        <v>938</v>
      </c>
      <c r="I680" s="20"/>
      <c r="J680" s="20">
        <v>1712</v>
      </c>
    </row>
    <row r="681" spans="1:10">
      <c r="A681" s="2"/>
      <c r="C681" s="3"/>
    </row>
    <row r="682" spans="1:10">
      <c r="A682" s="2">
        <v>242250</v>
      </c>
      <c r="B682" s="7" t="s">
        <v>3</v>
      </c>
      <c r="C682" s="3" t="str">
        <f>VLOOKUP(B682,'Accounts chart'!$A:$B,2,FALSE)</f>
        <v>ธนาคารกสิกรไทย SA-040-1-56500-0</v>
      </c>
      <c r="D682" t="s">
        <v>758</v>
      </c>
      <c r="E682" t="s">
        <v>678</v>
      </c>
      <c r="F682" t="s">
        <v>87</v>
      </c>
      <c r="G682" t="str">
        <f>VLOOKUP(F682,รายชื่อลูกบ้าน!$A:$B,2,FALSE)</f>
        <v>คุณคงกฤษณ์ กาญจนพฤกษ์</v>
      </c>
      <c r="H682" t="s">
        <v>424</v>
      </c>
      <c r="I682" s="23">
        <v>600</v>
      </c>
    </row>
    <row r="683" spans="1:10">
      <c r="A683" s="2">
        <v>242250</v>
      </c>
      <c r="B683" s="7" t="s">
        <v>3</v>
      </c>
      <c r="C683" s="3" t="str">
        <f>VLOOKUP(B683,'Accounts chart'!$A:$B,2,FALSE)</f>
        <v>ธนาคารกสิกรไทย SA-040-1-56500-0</v>
      </c>
      <c r="D683" t="s">
        <v>758</v>
      </c>
      <c r="E683" t="s">
        <v>679</v>
      </c>
      <c r="F683" t="s">
        <v>339</v>
      </c>
      <c r="G683" t="str">
        <f>VLOOKUP(F683,รายชื่อลูกบ้าน!$A:$B,2,FALSE)</f>
        <v>คุณภควัต สันหนองเมือง</v>
      </c>
      <c r="H683" t="s">
        <v>424</v>
      </c>
      <c r="I683" s="23">
        <v>600</v>
      </c>
    </row>
    <row r="684" spans="1:10">
      <c r="A684" s="2">
        <v>242250</v>
      </c>
      <c r="B684" s="7" t="s">
        <v>3</v>
      </c>
      <c r="C684" s="3" t="str">
        <f>VLOOKUP(B684,'Accounts chart'!$A:$B,2,FALSE)</f>
        <v>ธนาคารกสิกรไทย SA-040-1-56500-0</v>
      </c>
      <c r="D684" t="s">
        <v>758</v>
      </c>
      <c r="E684" t="s">
        <v>680</v>
      </c>
      <c r="F684" t="s">
        <v>74</v>
      </c>
      <c r="G684" t="str">
        <f>VLOOKUP(F684,รายชื่อลูกบ้าน!$A:$B,2,FALSE)</f>
        <v>คุณคมกฤษณ์ เรืองเพ็ง</v>
      </c>
      <c r="H684" t="s">
        <v>665</v>
      </c>
      <c r="I684" s="23">
        <v>600</v>
      </c>
    </row>
    <row r="685" spans="1:10">
      <c r="A685" s="2">
        <v>242250</v>
      </c>
      <c r="B685" s="7" t="s">
        <v>3</v>
      </c>
      <c r="C685" s="3" t="str">
        <f>VLOOKUP(B685,'Accounts chart'!$A:$B,2,FALSE)</f>
        <v>ธนาคารกสิกรไทย SA-040-1-56500-0</v>
      </c>
      <c r="D685" t="s">
        <v>758</v>
      </c>
      <c r="E685" t="s">
        <v>681</v>
      </c>
      <c r="F685" t="s">
        <v>255</v>
      </c>
      <c r="G685" t="str">
        <f>VLOOKUP(F685,รายชื่อลูกบ้าน!$A:$B,2,FALSE)</f>
        <v>คุณไชยยันต์ แก้วบุญศรี</v>
      </c>
      <c r="H685" t="s">
        <v>665</v>
      </c>
      <c r="I685" s="23">
        <v>600</v>
      </c>
    </row>
    <row r="686" spans="1:10">
      <c r="A686" s="25">
        <v>242250</v>
      </c>
      <c r="B686" s="26" t="s">
        <v>3</v>
      </c>
      <c r="C686" s="27" t="str">
        <f>VLOOKUP(B686,'Accounts chart'!$A:$B,2,FALSE)</f>
        <v>ธนาคารกสิกรไทย SA-040-1-56500-0</v>
      </c>
      <c r="D686" s="4" t="s">
        <v>758</v>
      </c>
      <c r="E686" s="4" t="s">
        <v>682</v>
      </c>
      <c r="F686" s="4"/>
      <c r="G686" s="4" t="e">
        <f>VLOOKUP(F686,รายชื่อลูกบ้าน!$A:$B,2,FALSE)</f>
        <v>#N/A</v>
      </c>
      <c r="H686" s="4" t="s">
        <v>699</v>
      </c>
      <c r="I686" s="28">
        <v>600</v>
      </c>
      <c r="J686" s="28"/>
    </row>
    <row r="687" spans="1:10">
      <c r="A687" s="2">
        <v>242250</v>
      </c>
      <c r="B687" s="7" t="s">
        <v>34</v>
      </c>
      <c r="C687" s="3" t="str">
        <f>VLOOKUP(B687,'Accounts chart'!$A:$B,2,FALSE)</f>
        <v>รายรับค่าส่วนกลาง</v>
      </c>
      <c r="D687" t="s">
        <v>758</v>
      </c>
      <c r="E687" t="s">
        <v>678</v>
      </c>
      <c r="F687" t="s">
        <v>87</v>
      </c>
      <c r="G687" t="str">
        <f>VLOOKUP(F687,รายชื่อลูกบ้าน!$A:$B,2,FALSE)</f>
        <v>คุณคงกฤษณ์ กาญจนพฤกษ์</v>
      </c>
      <c r="H687" t="s">
        <v>424</v>
      </c>
      <c r="J687" s="23">
        <v>600</v>
      </c>
    </row>
    <row r="688" spans="1:10">
      <c r="A688" s="2">
        <v>242250</v>
      </c>
      <c r="B688" s="7" t="s">
        <v>34</v>
      </c>
      <c r="C688" s="3" t="str">
        <f>VLOOKUP(B688,'Accounts chart'!$A:$B,2,FALSE)</f>
        <v>รายรับค่าส่วนกลาง</v>
      </c>
      <c r="D688" t="s">
        <v>758</v>
      </c>
      <c r="E688" t="s">
        <v>679</v>
      </c>
      <c r="F688" t="s">
        <v>339</v>
      </c>
      <c r="G688" t="str">
        <f>VLOOKUP(F688,รายชื่อลูกบ้าน!$A:$B,2,FALSE)</f>
        <v>คุณภควัต สันหนองเมือง</v>
      </c>
      <c r="H688" t="s">
        <v>424</v>
      </c>
      <c r="J688" s="23">
        <v>600</v>
      </c>
    </row>
    <row r="689" spans="1:10">
      <c r="A689" s="2">
        <v>242250</v>
      </c>
      <c r="B689" s="7" t="s">
        <v>34</v>
      </c>
      <c r="C689" s="3" t="str">
        <f>VLOOKUP(B689,'Accounts chart'!$A:$B,2,FALSE)</f>
        <v>รายรับค่าส่วนกลาง</v>
      </c>
      <c r="D689" t="s">
        <v>758</v>
      </c>
      <c r="E689" t="s">
        <v>680</v>
      </c>
      <c r="F689" t="s">
        <v>74</v>
      </c>
      <c r="G689" t="str">
        <f>VLOOKUP(F689,รายชื่อลูกบ้าน!$A:$B,2,FALSE)</f>
        <v>คุณคมกฤษณ์ เรืองเพ็ง</v>
      </c>
      <c r="H689" t="s">
        <v>665</v>
      </c>
      <c r="J689" s="23">
        <v>600</v>
      </c>
    </row>
    <row r="690" spans="1:10">
      <c r="A690" s="2">
        <v>242250</v>
      </c>
      <c r="B690" s="7" t="s">
        <v>34</v>
      </c>
      <c r="C690" s="3" t="str">
        <f>VLOOKUP(B690,'Accounts chart'!$A:$B,2,FALSE)</f>
        <v>รายรับค่าส่วนกลาง</v>
      </c>
      <c r="D690" t="s">
        <v>758</v>
      </c>
      <c r="E690" t="s">
        <v>681</v>
      </c>
      <c r="F690" t="s">
        <v>255</v>
      </c>
      <c r="G690" t="str">
        <f>VLOOKUP(F690,รายชื่อลูกบ้าน!$A:$B,2,FALSE)</f>
        <v>คุณไชยยันต์ แก้วบุญศรี</v>
      </c>
      <c r="H690" t="s">
        <v>665</v>
      </c>
      <c r="J690" s="23">
        <v>600</v>
      </c>
    </row>
    <row r="691" spans="1:10">
      <c r="A691" s="25">
        <v>242250</v>
      </c>
      <c r="B691" s="26" t="s">
        <v>26</v>
      </c>
      <c r="C691" s="27" t="str">
        <f>VLOOKUP(B691,'Accounts chart'!$A:$B,2,FALSE)</f>
        <v>รายได้ค่าส่วนกลางไม่ทราบชือ</v>
      </c>
      <c r="D691" s="4" t="s">
        <v>758</v>
      </c>
      <c r="E691" s="4" t="s">
        <v>682</v>
      </c>
      <c r="F691" s="4"/>
      <c r="G691" s="4" t="e">
        <f>VLOOKUP(F691,รายชื่อลูกบ้าน!$A:$B,2,FALSE)</f>
        <v>#N/A</v>
      </c>
      <c r="H691" s="4" t="s">
        <v>699</v>
      </c>
      <c r="I691" s="28"/>
      <c r="J691" s="28">
        <v>600</v>
      </c>
    </row>
    <row r="692" spans="1:10">
      <c r="A692" s="2"/>
      <c r="C692" s="3"/>
    </row>
    <row r="693" spans="1:10">
      <c r="A693" s="2">
        <v>242251</v>
      </c>
      <c r="B693" s="7" t="s">
        <v>3</v>
      </c>
      <c r="C693" s="3" t="str">
        <f>VLOOKUP(B693,'Accounts chart'!$A:$B,2,FALSE)</f>
        <v>ธนาคารกสิกรไทย SA-040-1-56500-0</v>
      </c>
      <c r="D693" t="s">
        <v>759</v>
      </c>
      <c r="E693" t="s">
        <v>683</v>
      </c>
      <c r="F693" t="s">
        <v>121</v>
      </c>
      <c r="G693" t="str">
        <f>VLOOKUP(F693,รายชื่อลูกบ้าน!$A:$B,2,FALSE)</f>
        <v>คุณสถิตย์ ปาระพิมพ์</v>
      </c>
      <c r="H693" t="s">
        <v>424</v>
      </c>
      <c r="I693" s="23">
        <v>600</v>
      </c>
    </row>
    <row r="694" spans="1:10">
      <c r="A694" s="2">
        <v>242251</v>
      </c>
      <c r="B694" s="7" t="s">
        <v>3</v>
      </c>
      <c r="C694" s="3" t="str">
        <f>VLOOKUP(B694,'Accounts chart'!$A:$B,2,FALSE)</f>
        <v>ธนาคารกสิกรไทย SA-040-1-56500-0</v>
      </c>
      <c r="D694" t="s">
        <v>759</v>
      </c>
      <c r="E694" t="s">
        <v>684</v>
      </c>
      <c r="F694" t="s">
        <v>162</v>
      </c>
      <c r="G694" t="str">
        <f>VLOOKUP(F694,รายชื่อลูกบ้าน!$A:$B,2,FALSE)</f>
        <v>คุณศริตวรรธน์ ศรีวัฒนวรกุล</v>
      </c>
      <c r="H694" t="s">
        <v>700</v>
      </c>
      <c r="I694" s="23">
        <v>1200</v>
      </c>
    </row>
    <row r="695" spans="1:10">
      <c r="A695" s="2">
        <v>242251</v>
      </c>
      <c r="B695" s="7" t="s">
        <v>3</v>
      </c>
      <c r="C695" s="3" t="str">
        <f>VLOOKUP(B695,'Accounts chart'!$A:$B,2,FALSE)</f>
        <v>ธนาคารกสิกรไทย SA-040-1-56500-0</v>
      </c>
      <c r="D695" t="s">
        <v>759</v>
      </c>
      <c r="E695" t="s">
        <v>685</v>
      </c>
      <c r="F695" t="s">
        <v>287</v>
      </c>
      <c r="G695" t="str">
        <f>VLOOKUP(F695,รายชื่อลูกบ้าน!$A:$B,2,FALSE)</f>
        <v>คุณพวงพุฒ คาร์เตอร์</v>
      </c>
      <c r="H695" t="s">
        <v>701</v>
      </c>
      <c r="I695" s="23">
        <v>1801.13</v>
      </c>
    </row>
    <row r="696" spans="1:10">
      <c r="A696" s="2">
        <v>242251</v>
      </c>
      <c r="B696" s="7" t="s">
        <v>34</v>
      </c>
      <c r="C696" s="3" t="str">
        <f>VLOOKUP(B696,'Accounts chart'!$A:$B,2,FALSE)</f>
        <v>รายรับค่าส่วนกลาง</v>
      </c>
      <c r="D696" t="s">
        <v>759</v>
      </c>
      <c r="E696" t="s">
        <v>683</v>
      </c>
      <c r="F696" t="s">
        <v>121</v>
      </c>
      <c r="G696" t="str">
        <f>VLOOKUP(F696,รายชื่อลูกบ้าน!$A:$B,2,FALSE)</f>
        <v>คุณสถิตย์ ปาระพิมพ์</v>
      </c>
      <c r="H696" t="s">
        <v>424</v>
      </c>
      <c r="J696" s="23">
        <v>600</v>
      </c>
    </row>
    <row r="697" spans="1:10">
      <c r="A697" s="2">
        <v>242251</v>
      </c>
      <c r="B697" s="7" t="s">
        <v>34</v>
      </c>
      <c r="C697" s="3" t="str">
        <f>VLOOKUP(B697,'Accounts chart'!$A:$B,2,FALSE)</f>
        <v>รายรับค่าส่วนกลาง</v>
      </c>
      <c r="D697" t="s">
        <v>759</v>
      </c>
      <c r="E697" t="s">
        <v>684</v>
      </c>
      <c r="F697" t="s">
        <v>162</v>
      </c>
      <c r="G697" t="str">
        <f>VLOOKUP(F697,รายชื่อลูกบ้าน!$A:$B,2,FALSE)</f>
        <v>คุณศริตวรรธน์ ศรีวัฒนวรกุล</v>
      </c>
      <c r="H697" t="s">
        <v>700</v>
      </c>
      <c r="J697" s="23">
        <v>1200</v>
      </c>
    </row>
    <row r="698" spans="1:10">
      <c r="A698" s="2">
        <v>242251</v>
      </c>
      <c r="B698" s="7" t="s">
        <v>34</v>
      </c>
      <c r="C698" s="3" t="str">
        <f>VLOOKUP(B698,'Accounts chart'!$A:$B,2,FALSE)</f>
        <v>รายรับค่าส่วนกลาง</v>
      </c>
      <c r="D698" t="s">
        <v>759</v>
      </c>
      <c r="E698" t="s">
        <v>685</v>
      </c>
      <c r="F698" t="s">
        <v>287</v>
      </c>
      <c r="G698" t="str">
        <f>VLOOKUP(F698,รายชื่อลูกบ้าน!$A:$B,2,FALSE)</f>
        <v>คุณพวงพุฒ คาร์เตอร์</v>
      </c>
      <c r="H698" t="s">
        <v>701</v>
      </c>
      <c r="J698" s="23">
        <v>1801.13</v>
      </c>
    </row>
    <row r="699" spans="1:10">
      <c r="A699" s="2"/>
      <c r="C699" s="3"/>
    </row>
    <row r="700" spans="1:10">
      <c r="A700" s="2">
        <v>242252</v>
      </c>
      <c r="B700" s="7" t="s">
        <v>3</v>
      </c>
      <c r="C700" s="3" t="str">
        <f>VLOOKUP(B700,'Accounts chart'!$A:$B,2,FALSE)</f>
        <v>ธนาคารกสิกรไทย SA-040-1-56500-0</v>
      </c>
      <c r="D700" t="s">
        <v>760</v>
      </c>
      <c r="E700" t="s">
        <v>686</v>
      </c>
      <c r="F700" t="s">
        <v>374</v>
      </c>
      <c r="G700" t="str">
        <f>VLOOKUP(F700,รายชื่อลูกบ้าน!$A:$B,2,FALSE)</f>
        <v>คุณเกียรติภูมิ วิรติภูมิ</v>
      </c>
      <c r="H700" t="s">
        <v>665</v>
      </c>
      <c r="I700" s="23">
        <v>600.9</v>
      </c>
    </row>
    <row r="701" spans="1:10">
      <c r="A701" s="2">
        <v>242252</v>
      </c>
      <c r="B701" s="7" t="s">
        <v>3</v>
      </c>
      <c r="C701" s="3" t="str">
        <f>VLOOKUP(B701,'Accounts chart'!$A:$B,2,FALSE)</f>
        <v>ธนาคารกสิกรไทย SA-040-1-56500-0</v>
      </c>
      <c r="D701" t="s">
        <v>760</v>
      </c>
      <c r="E701" t="s">
        <v>687</v>
      </c>
      <c r="F701" t="s">
        <v>354</v>
      </c>
      <c r="G701" t="str">
        <f>VLOOKUP(F701,รายชื่อลูกบ้าน!$A:$B,2,FALSE)</f>
        <v>คุณสุรัตน์ พันธุ์แย้มมาลี</v>
      </c>
      <c r="H701" t="s">
        <v>424</v>
      </c>
      <c r="I701" s="23">
        <v>600</v>
      </c>
    </row>
    <row r="702" spans="1:10">
      <c r="A702" s="2">
        <v>242252</v>
      </c>
      <c r="B702" s="7" t="s">
        <v>34</v>
      </c>
      <c r="C702" s="3" t="str">
        <f>VLOOKUP(B702,'Accounts chart'!$A:$B,2,FALSE)</f>
        <v>รายรับค่าส่วนกลาง</v>
      </c>
      <c r="D702" t="s">
        <v>760</v>
      </c>
      <c r="E702" t="s">
        <v>686</v>
      </c>
      <c r="F702" t="s">
        <v>374</v>
      </c>
      <c r="G702" t="str">
        <f>VLOOKUP(F702,รายชื่อลูกบ้าน!$A:$B,2,FALSE)</f>
        <v>คุณเกียรติภูมิ วิรติภูมิ</v>
      </c>
      <c r="H702" t="s">
        <v>665</v>
      </c>
      <c r="J702" s="23">
        <v>600.9</v>
      </c>
    </row>
    <row r="703" spans="1:10">
      <c r="A703" s="2">
        <v>242252</v>
      </c>
      <c r="B703" s="7" t="s">
        <v>34</v>
      </c>
      <c r="C703" s="3" t="str">
        <f>VLOOKUP(B703,'Accounts chart'!$A:$B,2,FALSE)</f>
        <v>รายรับค่าส่วนกลาง</v>
      </c>
      <c r="D703" t="s">
        <v>760</v>
      </c>
      <c r="E703" t="s">
        <v>687</v>
      </c>
      <c r="F703" t="s">
        <v>354</v>
      </c>
      <c r="G703" t="str">
        <f>VLOOKUP(F703,รายชื่อลูกบ้าน!$A:$B,2,FALSE)</f>
        <v>คุณสุรัตน์ พันธุ์แย้มมาลี</v>
      </c>
      <c r="H703" t="s">
        <v>424</v>
      </c>
      <c r="J703" s="23">
        <v>600</v>
      </c>
    </row>
    <row r="704" spans="1:10">
      <c r="A704" s="2"/>
      <c r="C704" s="3"/>
    </row>
    <row r="705" spans="1:10">
      <c r="A705" s="2">
        <v>242253</v>
      </c>
      <c r="B705" s="7" t="s">
        <v>3</v>
      </c>
      <c r="C705" s="3" t="str">
        <f>VLOOKUP(B705,'Accounts chart'!$A:$B,2,FALSE)</f>
        <v>ธนาคารกสิกรไทย SA-040-1-56500-0</v>
      </c>
      <c r="D705" t="s">
        <v>761</v>
      </c>
      <c r="E705" t="s">
        <v>688</v>
      </c>
      <c r="F705" t="s">
        <v>360</v>
      </c>
      <c r="G705" t="str">
        <f>VLOOKUP(F705,รายชื่อลูกบ้าน!$A:$B,2,FALSE)</f>
        <v>คุณวิษา มีมาก</v>
      </c>
      <c r="H705" t="s">
        <v>665</v>
      </c>
      <c r="I705" s="23">
        <v>600</v>
      </c>
    </row>
    <row r="706" spans="1:10">
      <c r="A706" s="2">
        <v>242253</v>
      </c>
      <c r="B706" s="7" t="s">
        <v>3</v>
      </c>
      <c r="C706" s="3" t="str">
        <f>VLOOKUP(B706,'Accounts chart'!$A:$B,2,FALSE)</f>
        <v>ธนาคารกสิกรไทย SA-040-1-56500-0</v>
      </c>
      <c r="D706" t="s">
        <v>761</v>
      </c>
      <c r="E706" t="s">
        <v>689</v>
      </c>
      <c r="F706" t="s">
        <v>117</v>
      </c>
      <c r="G706" t="str">
        <f>VLOOKUP(F706,รายชื่อลูกบ้าน!$A:$B,2,FALSE)</f>
        <v>คุณธนัญกรณ์ ทาสระคู</v>
      </c>
      <c r="H706" t="s">
        <v>424</v>
      </c>
      <c r="I706" s="23">
        <v>600</v>
      </c>
    </row>
    <row r="707" spans="1:10">
      <c r="A707" s="2">
        <v>242253</v>
      </c>
      <c r="B707" s="7" t="s">
        <v>34</v>
      </c>
      <c r="C707" s="3" t="str">
        <f>VLOOKUP(B707,'Accounts chart'!$A:$B,2,FALSE)</f>
        <v>รายรับค่าส่วนกลาง</v>
      </c>
      <c r="D707" t="s">
        <v>761</v>
      </c>
      <c r="E707" t="s">
        <v>688</v>
      </c>
      <c r="F707" t="s">
        <v>360</v>
      </c>
      <c r="G707" t="str">
        <f>VLOOKUP(F707,รายชื่อลูกบ้าน!$A:$B,2,FALSE)</f>
        <v>คุณวิษา มีมาก</v>
      </c>
      <c r="H707" t="s">
        <v>665</v>
      </c>
      <c r="J707" s="23">
        <v>600</v>
      </c>
    </row>
    <row r="708" spans="1:10">
      <c r="A708" s="2">
        <v>242253</v>
      </c>
      <c r="B708" s="7" t="s">
        <v>34</v>
      </c>
      <c r="C708" s="3" t="str">
        <f>VLOOKUP(B708,'Accounts chart'!$A:$B,2,FALSE)</f>
        <v>รายรับค่าส่วนกลาง</v>
      </c>
      <c r="D708" t="s">
        <v>761</v>
      </c>
      <c r="E708" t="s">
        <v>689</v>
      </c>
      <c r="F708" t="s">
        <v>117</v>
      </c>
      <c r="G708" t="str">
        <f>VLOOKUP(F708,รายชื่อลูกบ้าน!$A:$B,2,FALSE)</f>
        <v>คุณธนัญกรณ์ ทาสระคู</v>
      </c>
      <c r="H708" t="s">
        <v>424</v>
      </c>
      <c r="J708" s="23">
        <v>600</v>
      </c>
    </row>
    <row r="709" spans="1:10">
      <c r="A709" s="2"/>
      <c r="C709" s="3"/>
    </row>
    <row r="710" spans="1:10">
      <c r="A710" s="2">
        <v>242254</v>
      </c>
      <c r="B710" s="7" t="s">
        <v>3</v>
      </c>
      <c r="C710" s="3" t="str">
        <f>VLOOKUP(B710,'Accounts chart'!$A:$B,2,FALSE)</f>
        <v>ธนาคารกสิกรไทย SA-040-1-56500-0</v>
      </c>
      <c r="D710" t="s">
        <v>762</v>
      </c>
      <c r="E710" t="s">
        <v>690</v>
      </c>
      <c r="F710" t="s">
        <v>311</v>
      </c>
      <c r="G710" t="str">
        <f>VLOOKUP(F710,รายชื่อลูกบ้าน!$A:$B,2,FALSE)</f>
        <v>คุณปิยณัฐ ปัญญาสวัสดิ์</v>
      </c>
      <c r="H710" t="s">
        <v>665</v>
      </c>
      <c r="I710" s="23">
        <v>600</v>
      </c>
    </row>
    <row r="711" spans="1:10">
      <c r="A711" s="2">
        <v>242254</v>
      </c>
      <c r="B711" s="7" t="s">
        <v>3</v>
      </c>
      <c r="C711" s="3" t="str">
        <f>VLOOKUP(B711,'Accounts chart'!$A:$B,2,FALSE)</f>
        <v>ธนาคารกสิกรไทย SA-040-1-56500-0</v>
      </c>
      <c r="D711" t="s">
        <v>762</v>
      </c>
      <c r="E711" t="s">
        <v>691</v>
      </c>
      <c r="F711" t="s">
        <v>307</v>
      </c>
      <c r="G711" t="str">
        <f>VLOOKUP(F711,รายชื่อลูกบ้าน!$A:$B,2,FALSE)</f>
        <v>คุณสุริยา บุญเจริญ</v>
      </c>
      <c r="H711" t="s">
        <v>702</v>
      </c>
      <c r="I711" s="23">
        <v>1800</v>
      </c>
    </row>
    <row r="712" spans="1:10">
      <c r="A712" s="2">
        <v>242254</v>
      </c>
      <c r="B712" s="7" t="s">
        <v>34</v>
      </c>
      <c r="C712" s="3" t="str">
        <f>VLOOKUP(B712,'Accounts chart'!$A:$B,2,FALSE)</f>
        <v>รายรับค่าส่วนกลาง</v>
      </c>
      <c r="D712" t="s">
        <v>762</v>
      </c>
      <c r="E712" t="s">
        <v>690</v>
      </c>
      <c r="F712" t="s">
        <v>311</v>
      </c>
      <c r="G712" t="str">
        <f>VLOOKUP(F712,รายชื่อลูกบ้าน!$A:$B,2,FALSE)</f>
        <v>คุณปิยณัฐ ปัญญาสวัสดิ์</v>
      </c>
      <c r="H712" t="s">
        <v>665</v>
      </c>
      <c r="J712" s="23">
        <v>600</v>
      </c>
    </row>
    <row r="713" spans="1:10">
      <c r="A713" s="2">
        <v>242254</v>
      </c>
      <c r="B713" s="7" t="s">
        <v>34</v>
      </c>
      <c r="C713" s="3" t="str">
        <f>VLOOKUP(B713,'Accounts chart'!$A:$B,2,FALSE)</f>
        <v>รายรับค่าส่วนกลาง</v>
      </c>
      <c r="D713" t="s">
        <v>762</v>
      </c>
      <c r="E713" t="s">
        <v>691</v>
      </c>
      <c r="F713" t="s">
        <v>307</v>
      </c>
      <c r="G713" t="str">
        <f>VLOOKUP(F713,รายชื่อลูกบ้าน!$A:$B,2,FALSE)</f>
        <v>คุณสุริยา บุญเจริญ</v>
      </c>
      <c r="H713" t="s">
        <v>702</v>
      </c>
      <c r="J713" s="23">
        <v>1800</v>
      </c>
    </row>
    <row r="714" spans="1:10">
      <c r="A714" s="2"/>
      <c r="C714" s="3"/>
    </row>
    <row r="715" spans="1:10">
      <c r="A715" s="2">
        <v>242255</v>
      </c>
      <c r="B715" s="7" t="s">
        <v>3</v>
      </c>
      <c r="C715" s="3" t="str">
        <f>VLOOKUP(B715,'Accounts chart'!$A:$B,2,FALSE)</f>
        <v>ธนาคารกสิกรไทย SA-040-1-56500-0</v>
      </c>
      <c r="D715" t="s">
        <v>763</v>
      </c>
      <c r="E715" t="s">
        <v>692</v>
      </c>
      <c r="F715" t="s">
        <v>118</v>
      </c>
      <c r="G715" t="str">
        <f>VLOOKUP(F715,รายชื่อลูกบ้าน!$A:$B,2,FALSE)</f>
        <v>คุณด้ามพรรณ ตั้งทองจิตร-คุณศราวุธ ฑพธาภิรมย์</v>
      </c>
      <c r="H715" t="s">
        <v>703</v>
      </c>
      <c r="I715" s="23">
        <v>1200</v>
      </c>
    </row>
    <row r="716" spans="1:10">
      <c r="A716" s="2">
        <v>242255</v>
      </c>
      <c r="B716" s="7" t="s">
        <v>3</v>
      </c>
      <c r="C716" s="3" t="str">
        <f>VLOOKUP(B716,'Accounts chart'!$A:$B,2,FALSE)</f>
        <v>ธนาคารกสิกรไทย SA-040-1-56500-0</v>
      </c>
      <c r="D716" t="s">
        <v>763</v>
      </c>
      <c r="E716" t="s">
        <v>693</v>
      </c>
      <c r="F716" t="s">
        <v>132</v>
      </c>
      <c r="G716" t="str">
        <f>VLOOKUP(F716,รายชื่อลูกบ้าน!$A:$B,2,FALSE)</f>
        <v>คุณสมหมาย เงินสมบัติ</v>
      </c>
      <c r="H716" t="s">
        <v>424</v>
      </c>
      <c r="I716" s="23">
        <v>600</v>
      </c>
    </row>
    <row r="717" spans="1:10">
      <c r="A717" s="2">
        <v>242255</v>
      </c>
      <c r="B717" s="7" t="s">
        <v>34</v>
      </c>
      <c r="C717" s="3" t="str">
        <f>VLOOKUP(B717,'Accounts chart'!$A:$B,2,FALSE)</f>
        <v>รายรับค่าส่วนกลาง</v>
      </c>
      <c r="D717" t="s">
        <v>763</v>
      </c>
      <c r="E717" t="s">
        <v>692</v>
      </c>
      <c r="F717" t="s">
        <v>118</v>
      </c>
      <c r="G717" t="str">
        <f>VLOOKUP(F717,รายชื่อลูกบ้าน!$A:$B,2,FALSE)</f>
        <v>คุณด้ามพรรณ ตั้งทองจิตร-คุณศราวุธ ฑพธาภิรมย์</v>
      </c>
      <c r="H717" t="s">
        <v>703</v>
      </c>
      <c r="J717" s="23">
        <v>1200</v>
      </c>
    </row>
    <row r="718" spans="1:10">
      <c r="A718" s="2">
        <v>242255</v>
      </c>
      <c r="B718" s="7" t="s">
        <v>34</v>
      </c>
      <c r="C718" s="3" t="str">
        <f>VLOOKUP(B718,'Accounts chart'!$A:$B,2,FALSE)</f>
        <v>รายรับค่าส่วนกลาง</v>
      </c>
      <c r="D718" t="s">
        <v>763</v>
      </c>
      <c r="E718" t="s">
        <v>693</v>
      </c>
      <c r="F718" t="s">
        <v>132</v>
      </c>
      <c r="G718" t="str">
        <f>VLOOKUP(F718,รายชื่อลูกบ้าน!$A:$B,2,FALSE)</f>
        <v>คุณสมหมาย เงินสมบัติ</v>
      </c>
      <c r="H718" t="s">
        <v>424</v>
      </c>
      <c r="J718" s="23">
        <v>600</v>
      </c>
    </row>
    <row r="719" spans="1:10">
      <c r="A719" s="2"/>
      <c r="C719" s="3"/>
    </row>
    <row r="720" spans="1:10">
      <c r="A720" s="2">
        <v>242256</v>
      </c>
      <c r="B720" s="7" t="s">
        <v>3</v>
      </c>
      <c r="C720" s="3" t="str">
        <f>VLOOKUP(B720,'Accounts chart'!$A:$B,2,FALSE)</f>
        <v>ธนาคารกสิกรไทย SA-040-1-56500-0</v>
      </c>
      <c r="D720" t="s">
        <v>764</v>
      </c>
      <c r="E720" t="s">
        <v>694</v>
      </c>
      <c r="F720" t="s">
        <v>223</v>
      </c>
      <c r="G720" t="str">
        <f>VLOOKUP(F720,รายชื่อลูกบ้าน!$A:$B,2,FALSE)</f>
        <v>คุณสุจิตรา เนินคีริ</v>
      </c>
      <c r="H720" t="s">
        <v>424</v>
      </c>
      <c r="I720" s="23">
        <v>600</v>
      </c>
    </row>
    <row r="721" spans="1:10">
      <c r="A721" s="2">
        <v>242256</v>
      </c>
      <c r="B721" s="7" t="s">
        <v>34</v>
      </c>
      <c r="C721" s="3" t="str">
        <f>VLOOKUP(B721,'Accounts chart'!$A:$B,2,FALSE)</f>
        <v>รายรับค่าส่วนกลาง</v>
      </c>
      <c r="D721" t="s">
        <v>764</v>
      </c>
      <c r="E721" t="s">
        <v>694</v>
      </c>
      <c r="F721" t="s">
        <v>223</v>
      </c>
      <c r="G721" t="str">
        <f>VLOOKUP(F721,รายชื่อลูกบ้าน!$A:$B,2,FALSE)</f>
        <v>คุณสุจิตรา เนินคีริ</v>
      </c>
      <c r="H721" t="s">
        <v>424</v>
      </c>
      <c r="J721" s="23">
        <v>600</v>
      </c>
    </row>
    <row r="722" spans="1:10">
      <c r="A722" s="2"/>
      <c r="C722" s="3"/>
    </row>
    <row r="723" spans="1:10">
      <c r="A723" s="2">
        <v>242257</v>
      </c>
      <c r="B723" s="7" t="s">
        <v>3</v>
      </c>
      <c r="C723" s="3" t="str">
        <f>VLOOKUP(B723,'Accounts chart'!$A:$B,2,FALSE)</f>
        <v>ธนาคารกสิกรไทย SA-040-1-56500-0</v>
      </c>
      <c r="D723" t="s">
        <v>765</v>
      </c>
      <c r="E723" t="s">
        <v>695</v>
      </c>
      <c r="F723" t="s">
        <v>159</v>
      </c>
      <c r="G723" t="str">
        <f>VLOOKUP(F723,รายชื่อลูกบ้าน!$A:$B,2,FALSE)</f>
        <v>คุณอดุลย์ แก้วอำไพ</v>
      </c>
      <c r="H723" t="s">
        <v>665</v>
      </c>
      <c r="I723" s="23">
        <v>600</v>
      </c>
    </row>
    <row r="724" spans="1:10">
      <c r="A724" s="2">
        <v>242257</v>
      </c>
      <c r="B724" s="7" t="s">
        <v>3</v>
      </c>
      <c r="C724" s="3" t="str">
        <f>VLOOKUP(B724,'Accounts chart'!$A:$B,2,FALSE)</f>
        <v>ธนาคารกสิกรไทย SA-040-1-56500-0</v>
      </c>
      <c r="D724" t="s">
        <v>765</v>
      </c>
      <c r="E724" t="s">
        <v>696</v>
      </c>
      <c r="F724" t="s">
        <v>331</v>
      </c>
      <c r="G724" t="str">
        <f>VLOOKUP(F724,รายชื่อลูกบ้าน!$A:$B,2,FALSE)</f>
        <v>คุณวชิระ ช่างแก้ว</v>
      </c>
      <c r="H724" t="s">
        <v>665</v>
      </c>
      <c r="I724" s="23">
        <v>600</v>
      </c>
    </row>
    <row r="725" spans="1:10">
      <c r="A725" s="2">
        <v>242257</v>
      </c>
      <c r="B725" s="7" t="s">
        <v>3</v>
      </c>
      <c r="C725" s="3" t="str">
        <f>VLOOKUP(B725,'Accounts chart'!$A:$B,2,FALSE)</f>
        <v>ธนาคารกสิกรไทย SA-040-1-56500-0</v>
      </c>
      <c r="D725" t="s">
        <v>765</v>
      </c>
      <c r="E725" t="s">
        <v>697</v>
      </c>
      <c r="F725" t="s">
        <v>134</v>
      </c>
      <c r="G725" t="str">
        <f>VLOOKUP(F725,รายชื่อลูกบ้าน!$A:$B,2,FALSE)</f>
        <v>คุณอวยชัย ลีขสวัสดิ์</v>
      </c>
      <c r="H725" t="s">
        <v>704</v>
      </c>
      <c r="I725" s="23">
        <v>2400</v>
      </c>
    </row>
    <row r="726" spans="1:10">
      <c r="A726" s="2">
        <v>242257</v>
      </c>
      <c r="B726" s="7" t="s">
        <v>34</v>
      </c>
      <c r="C726" s="3" t="str">
        <f>VLOOKUP(B726,'Accounts chart'!$A:$B,2,FALSE)</f>
        <v>รายรับค่าส่วนกลาง</v>
      </c>
      <c r="D726" t="s">
        <v>765</v>
      </c>
      <c r="E726" t="s">
        <v>695</v>
      </c>
      <c r="F726" t="s">
        <v>159</v>
      </c>
      <c r="G726" t="str">
        <f>VLOOKUP(F726,รายชื่อลูกบ้าน!$A:$B,2,FALSE)</f>
        <v>คุณอดุลย์ แก้วอำไพ</v>
      </c>
      <c r="H726" t="s">
        <v>665</v>
      </c>
      <c r="J726" s="23">
        <v>600</v>
      </c>
    </row>
    <row r="727" spans="1:10">
      <c r="A727" s="2">
        <v>242257</v>
      </c>
      <c r="B727" s="7" t="s">
        <v>34</v>
      </c>
      <c r="C727" s="3" t="str">
        <f>VLOOKUP(B727,'Accounts chart'!$A:$B,2,FALSE)</f>
        <v>รายรับค่าส่วนกลาง</v>
      </c>
      <c r="D727" t="s">
        <v>765</v>
      </c>
      <c r="E727" t="s">
        <v>696</v>
      </c>
      <c r="F727" t="s">
        <v>331</v>
      </c>
      <c r="G727" t="str">
        <f>VLOOKUP(F727,รายชื่อลูกบ้าน!$A:$B,2,FALSE)</f>
        <v>คุณวชิระ ช่างแก้ว</v>
      </c>
      <c r="H727" t="s">
        <v>665</v>
      </c>
      <c r="J727" s="23">
        <v>600</v>
      </c>
    </row>
    <row r="728" spans="1:10">
      <c r="A728" s="2">
        <v>242257</v>
      </c>
      <c r="B728" s="7" t="s">
        <v>34</v>
      </c>
      <c r="C728" s="3" t="str">
        <f>VLOOKUP(B728,'Accounts chart'!$A:$B,2,FALSE)</f>
        <v>รายรับค่าส่วนกลาง</v>
      </c>
      <c r="D728" t="s">
        <v>765</v>
      </c>
      <c r="E728" t="s">
        <v>697</v>
      </c>
      <c r="F728" t="s">
        <v>134</v>
      </c>
      <c r="G728" t="str">
        <f>VLOOKUP(F728,รายชื่อลูกบ้าน!$A:$B,2,FALSE)</f>
        <v>คุณอวยชัย ลีขสวัสดิ์</v>
      </c>
      <c r="H728" t="s">
        <v>704</v>
      </c>
      <c r="J728" s="23">
        <v>2400</v>
      </c>
    </row>
    <row r="729" spans="1:10">
      <c r="A729" s="2"/>
      <c r="C729" s="3"/>
    </row>
    <row r="730" spans="1:10">
      <c r="A730" s="2"/>
      <c r="C730" s="3"/>
    </row>
    <row r="731" spans="1:10">
      <c r="A731" s="2">
        <v>242258</v>
      </c>
      <c r="B731" s="7" t="s">
        <v>16</v>
      </c>
      <c r="C731" s="3" t="str">
        <f>VLOOKUP(B731,'Accounts chart'!$A:$B,2,FALSE)</f>
        <v>ค่าบริการดูแลสระว่ายน้ำค้างจ่าย</v>
      </c>
      <c r="D731" s="7" t="s">
        <v>944</v>
      </c>
      <c r="G731" t="s">
        <v>775</v>
      </c>
      <c r="H731" t="s">
        <v>939</v>
      </c>
      <c r="I731" s="23">
        <v>7500</v>
      </c>
    </row>
    <row r="732" spans="1:10">
      <c r="A732" s="2">
        <v>242258</v>
      </c>
      <c r="B732" s="7" t="s">
        <v>2</v>
      </c>
      <c r="C732" s="3" t="str">
        <f>VLOOKUP(B732,'Accounts chart'!$A:$B,2,FALSE)</f>
        <v>ธนาคารกสิกรไทย CA-040-1-57563-4</v>
      </c>
      <c r="D732" s="7" t="s">
        <v>944</v>
      </c>
      <c r="G732" t="s">
        <v>775</v>
      </c>
      <c r="H732" t="s">
        <v>939</v>
      </c>
      <c r="J732" s="23">
        <v>7500</v>
      </c>
    </row>
    <row r="733" spans="1:10">
      <c r="A733" s="2"/>
      <c r="C733" s="3"/>
      <c r="D733" s="7"/>
    </row>
    <row r="734" spans="1:10">
      <c r="A734" s="2">
        <v>242258</v>
      </c>
      <c r="B734" s="7" t="s">
        <v>18</v>
      </c>
      <c r="C734" s="3" t="str">
        <f>VLOOKUP(B734,'Accounts chart'!$A:$B,2,FALSE)</f>
        <v>ค่ารักษาความปลอดภัยค้างจ่าย</v>
      </c>
      <c r="D734" s="7" t="s">
        <v>945</v>
      </c>
      <c r="G734" t="s">
        <v>377</v>
      </c>
      <c r="H734" t="s">
        <v>940</v>
      </c>
      <c r="I734" s="23">
        <v>38814.32</v>
      </c>
    </row>
    <row r="735" spans="1:10">
      <c r="A735" s="2">
        <v>242258</v>
      </c>
      <c r="B735" s="7" t="s">
        <v>2</v>
      </c>
      <c r="C735" s="3" t="str">
        <f>VLOOKUP(B735,'Accounts chart'!$A:$B,2,FALSE)</f>
        <v>ธนาคารกสิกรไทย CA-040-1-57563-4</v>
      </c>
      <c r="D735" s="7" t="s">
        <v>945</v>
      </c>
      <c r="G735" t="s">
        <v>377</v>
      </c>
      <c r="H735" t="s">
        <v>940</v>
      </c>
      <c r="J735" s="23">
        <v>38814.32</v>
      </c>
    </row>
    <row r="736" spans="1:10">
      <c r="A736" s="2"/>
      <c r="C736" s="3"/>
      <c r="D736" s="7"/>
    </row>
    <row r="737" spans="1:10">
      <c r="A737" s="2">
        <v>242258</v>
      </c>
      <c r="B737" s="7" t="s">
        <v>22</v>
      </c>
      <c r="C737" s="3" t="str">
        <f>VLOOKUP(B737,'Accounts chart'!$A:$B,2,FALSE)</f>
        <v>ค่าดูแลส่วนกลางค้างจ่าย</v>
      </c>
      <c r="D737" s="7" t="s">
        <v>946</v>
      </c>
      <c r="G737" t="s">
        <v>771</v>
      </c>
      <c r="H737" t="s">
        <v>941</v>
      </c>
      <c r="I737" s="23">
        <v>15000</v>
      </c>
    </row>
    <row r="738" spans="1:10">
      <c r="A738" s="2">
        <v>242258</v>
      </c>
      <c r="B738" s="7" t="s">
        <v>2</v>
      </c>
      <c r="C738" s="3" t="str">
        <f>VLOOKUP(B738,'Accounts chart'!$A:$B,2,FALSE)</f>
        <v>ธนาคารกสิกรไทย CA-040-1-57563-4</v>
      </c>
      <c r="D738" s="7" t="s">
        <v>946</v>
      </c>
      <c r="G738" t="s">
        <v>771</v>
      </c>
      <c r="H738" t="s">
        <v>941</v>
      </c>
      <c r="J738" s="23">
        <v>15000</v>
      </c>
    </row>
    <row r="739" spans="1:10">
      <c r="A739" s="2"/>
      <c r="C739" s="3"/>
      <c r="D739" s="7"/>
    </row>
    <row r="740" spans="1:10">
      <c r="A740" s="2">
        <v>242258</v>
      </c>
      <c r="B740" s="7" t="s">
        <v>14</v>
      </c>
      <c r="C740" s="3" t="str">
        <f>VLOOKUP(B740,'Accounts chart'!$A:$B,2,FALSE)</f>
        <v>ค่าเก็บขยะค้างจ่าย</v>
      </c>
      <c r="D740" s="7" t="s">
        <v>947</v>
      </c>
      <c r="G740" t="s">
        <v>943</v>
      </c>
      <c r="H740" t="s">
        <v>942</v>
      </c>
      <c r="I740" s="23">
        <v>3000</v>
      </c>
    </row>
    <row r="741" spans="1:10">
      <c r="A741" s="2">
        <v>242258</v>
      </c>
      <c r="B741" s="7" t="s">
        <v>2</v>
      </c>
      <c r="C741" s="3" t="str">
        <f>VLOOKUP(B741,'Accounts chart'!$A:$B,2,FALSE)</f>
        <v>ธนาคารกสิกรไทย CA-040-1-57563-4</v>
      </c>
      <c r="D741" s="7" t="s">
        <v>947</v>
      </c>
      <c r="G741" t="s">
        <v>943</v>
      </c>
      <c r="H741" t="s">
        <v>942</v>
      </c>
      <c r="J741" s="23">
        <v>3000</v>
      </c>
    </row>
    <row r="742" spans="1:10">
      <c r="A742" s="2"/>
      <c r="C742" s="3"/>
    </row>
    <row r="743" spans="1:10">
      <c r="A743" s="2">
        <v>242264</v>
      </c>
      <c r="B743" s="7" t="s">
        <v>3</v>
      </c>
      <c r="C743" s="3" t="str">
        <f>VLOOKUP(B743,'Accounts chart'!$A:$B,2,FALSE)</f>
        <v>ธนาคารกสิกรไทย SA-040-1-56500-0</v>
      </c>
      <c r="D743" t="s">
        <v>766</v>
      </c>
      <c r="E743" t="s">
        <v>698</v>
      </c>
      <c r="F743" t="s">
        <v>317</v>
      </c>
      <c r="G743" t="str">
        <f>VLOOKUP(F743,รายชื่อลูกบ้าน!$A:$B,2,FALSE)</f>
        <v>คุณจิระศักดิ์ จันทร์โท</v>
      </c>
      <c r="H743" t="s">
        <v>665</v>
      </c>
      <c r="I743" s="23">
        <v>600</v>
      </c>
    </row>
    <row r="744" spans="1:10">
      <c r="A744" s="2">
        <v>242264</v>
      </c>
      <c r="B744" s="7" t="s">
        <v>34</v>
      </c>
      <c r="C744" s="3" t="str">
        <f>VLOOKUP(B744,'Accounts chart'!$A:$B,2,FALSE)</f>
        <v>รายรับค่าส่วนกลาง</v>
      </c>
      <c r="D744" t="s">
        <v>766</v>
      </c>
      <c r="E744" t="s">
        <v>698</v>
      </c>
      <c r="F744" t="s">
        <v>317</v>
      </c>
      <c r="G744" t="str">
        <f>VLOOKUP(F744,รายชื่อลูกบ้าน!$A:$B,2,FALSE)</f>
        <v>คุณจิระศักดิ์ จันทร์โท</v>
      </c>
      <c r="H744" t="s">
        <v>665</v>
      </c>
      <c r="J744" s="23">
        <v>600</v>
      </c>
    </row>
    <row r="746" spans="1:10">
      <c r="A746" s="2">
        <v>242267</v>
      </c>
      <c r="B746" s="7" t="s">
        <v>3</v>
      </c>
      <c r="C746" s="3" t="str">
        <f>VLOOKUP(B746,'Accounts chart'!$A:$B,2,FALSE)</f>
        <v>ธนาคารกสิกรไทย SA-040-1-56500-0</v>
      </c>
      <c r="E746" t="s">
        <v>805</v>
      </c>
      <c r="F746" t="s">
        <v>195</v>
      </c>
      <c r="G746" t="str">
        <f>VLOOKUP(F746,รายชื่อลูกบ้าน!$A:$B,2,FALSE)</f>
        <v>คุณชานนท์ นนทรังษี</v>
      </c>
      <c r="H746" t="s">
        <v>665</v>
      </c>
      <c r="I746" s="23">
        <v>600</v>
      </c>
    </row>
    <row r="747" spans="1:10">
      <c r="A747" s="2">
        <v>242267</v>
      </c>
      <c r="B747" s="7" t="s">
        <v>34</v>
      </c>
      <c r="C747" s="3" t="str">
        <f>VLOOKUP(B747,'Accounts chart'!$A:$B,2,FALSE)</f>
        <v>รายรับค่าส่วนกลาง</v>
      </c>
      <c r="E747" t="s">
        <v>805</v>
      </c>
      <c r="F747" t="s">
        <v>195</v>
      </c>
      <c r="G747" t="str">
        <f>VLOOKUP(F747,รายชื่อลูกบ้าน!$A:$B,2,FALSE)</f>
        <v>คุณชานนท์ นนทรังษี</v>
      </c>
      <c r="H747" t="s">
        <v>665</v>
      </c>
      <c r="J747" s="23">
        <v>600</v>
      </c>
    </row>
    <row r="748" spans="1:10">
      <c r="A748" s="2"/>
      <c r="C748" s="3"/>
    </row>
    <row r="749" spans="1:10">
      <c r="A749" s="2">
        <v>242268</v>
      </c>
      <c r="B749" s="7" t="s">
        <v>3</v>
      </c>
      <c r="C749" s="3" t="str">
        <f>VLOOKUP(B749,'Accounts chart'!$A:$B,2,FALSE)</f>
        <v>ธนาคารกสิกรไทย SA-040-1-56500-0</v>
      </c>
      <c r="E749" t="s">
        <v>806</v>
      </c>
      <c r="F749" t="s">
        <v>260</v>
      </c>
      <c r="G749" t="str">
        <f>VLOOKUP(F749,รายชื่อลูกบ้าน!$A:$B,2,FALSE)</f>
        <v>คุณกัญพิสิษฐ์ ธนเกียรติชูโชติ</v>
      </c>
      <c r="H749" t="s">
        <v>703</v>
      </c>
      <c r="I749" s="23">
        <v>1200</v>
      </c>
    </row>
    <row r="750" spans="1:10">
      <c r="A750" s="2">
        <v>242268</v>
      </c>
      <c r="B750" s="7" t="s">
        <v>34</v>
      </c>
      <c r="C750" s="3" t="str">
        <f>VLOOKUP(B750,'Accounts chart'!$A:$B,2,FALSE)</f>
        <v>รายรับค่าส่วนกลาง</v>
      </c>
      <c r="E750" t="s">
        <v>806</v>
      </c>
      <c r="F750" t="s">
        <v>260</v>
      </c>
      <c r="G750" t="str">
        <f>VLOOKUP(F750,รายชื่อลูกบ้าน!$A:$B,2,FALSE)</f>
        <v>คุณกัญพิสิษฐ์ ธนเกียรติชูโชติ</v>
      </c>
      <c r="H750" t="s">
        <v>703</v>
      </c>
      <c r="J750" s="23">
        <v>1200</v>
      </c>
    </row>
    <row r="751" spans="1:10">
      <c r="A751" s="2"/>
      <c r="C751" s="3"/>
    </row>
    <row r="752" spans="1:10">
      <c r="A752" s="2">
        <v>242271</v>
      </c>
      <c r="B752" s="7" t="s">
        <v>3</v>
      </c>
      <c r="C752" s="3" t="str">
        <f>VLOOKUP(B752,'Accounts chart'!$A:$B,2,FALSE)</f>
        <v>ธนาคารกสิกรไทย SA-040-1-56500-0</v>
      </c>
      <c r="E752" t="s">
        <v>807</v>
      </c>
      <c r="F752" t="s">
        <v>182</v>
      </c>
      <c r="G752" t="str">
        <f>VLOOKUP(F752,รายชื่อลูกบ้าน!$A:$B,2,FALSE)</f>
        <v>คุณสิระพัชร์ หน่อแก้ว</v>
      </c>
      <c r="H752" t="s">
        <v>665</v>
      </c>
      <c r="I752" s="23">
        <v>600.53</v>
      </c>
    </row>
    <row r="753" spans="1:10">
      <c r="A753" s="2">
        <v>242271</v>
      </c>
      <c r="B753" s="7" t="s">
        <v>3</v>
      </c>
      <c r="C753" s="3" t="str">
        <f>VLOOKUP(B753,'Accounts chart'!$A:$B,2,FALSE)</f>
        <v>ธนาคารกสิกรไทย SA-040-1-56500-0</v>
      </c>
      <c r="E753" t="s">
        <v>808</v>
      </c>
      <c r="F753" t="s">
        <v>163</v>
      </c>
      <c r="G753" t="str">
        <f>VLOOKUP(F753,รายชื่อลูกบ้าน!$A:$B,2,FALSE)</f>
        <v>คุณสุภาภรณ์ ใจตั้ง</v>
      </c>
      <c r="H753" t="s">
        <v>835</v>
      </c>
      <c r="I753" s="23">
        <v>600</v>
      </c>
    </row>
    <row r="754" spans="1:10">
      <c r="A754" s="2">
        <v>242271</v>
      </c>
      <c r="B754" s="7" t="s">
        <v>3</v>
      </c>
      <c r="C754" s="3" t="str">
        <f>VLOOKUP(B754,'Accounts chart'!$A:$B,2,FALSE)</f>
        <v>ธนาคารกสิกรไทย SA-040-1-56500-0</v>
      </c>
      <c r="E754" t="s">
        <v>809</v>
      </c>
      <c r="F754" t="s">
        <v>241</v>
      </c>
      <c r="G754" t="str">
        <f>VLOOKUP(F754,รายชื่อลูกบ้าน!$A:$B,2,FALSE)</f>
        <v>คุณสุกิจ หมื่นยศ</v>
      </c>
      <c r="H754" t="s">
        <v>665</v>
      </c>
      <c r="I754" s="23">
        <v>600</v>
      </c>
    </row>
    <row r="755" spans="1:10">
      <c r="A755" s="2">
        <v>242271</v>
      </c>
      <c r="B755" s="7" t="s">
        <v>3</v>
      </c>
      <c r="C755" s="3" t="str">
        <f>VLOOKUP(B755,'Accounts chart'!$A:$B,2,FALSE)</f>
        <v>ธนาคารกสิกรไทย SA-040-1-56500-0</v>
      </c>
      <c r="E755" t="s">
        <v>810</v>
      </c>
      <c r="F755" t="s">
        <v>300</v>
      </c>
      <c r="G755" t="str">
        <f>VLOOKUP(F755,รายชื่อลูกบ้าน!$A:$B,2,FALSE)</f>
        <v>คุณเชาว์วัศ-คุณสุวภาพ เวชทัศน์</v>
      </c>
      <c r="H755" t="s">
        <v>424</v>
      </c>
      <c r="I755" s="23">
        <v>600</v>
      </c>
    </row>
    <row r="756" spans="1:10">
      <c r="A756" s="2">
        <v>242271</v>
      </c>
      <c r="B756" s="7" t="s">
        <v>3</v>
      </c>
      <c r="C756" s="3" t="str">
        <f>VLOOKUP(B756,'Accounts chart'!$A:$B,2,FALSE)</f>
        <v>ธนาคารกสิกรไทย SA-040-1-56500-0</v>
      </c>
      <c r="E756" t="s">
        <v>811</v>
      </c>
      <c r="F756" t="s">
        <v>251</v>
      </c>
      <c r="G756" t="str">
        <f>VLOOKUP(F756,รายชื่อลูกบ้าน!$A:$B,2,FALSE)</f>
        <v>คุณวิบูลย์ ฤทธิ์ทองพิทักษ์</v>
      </c>
      <c r="H756" t="s">
        <v>665</v>
      </c>
      <c r="I756" s="23">
        <v>600</v>
      </c>
    </row>
    <row r="757" spans="1:10">
      <c r="A757" s="2">
        <v>242271</v>
      </c>
      <c r="B757" s="7" t="s">
        <v>34</v>
      </c>
      <c r="C757" s="3" t="str">
        <f>VLOOKUP(B757,'Accounts chart'!$A:$B,2,FALSE)</f>
        <v>รายรับค่าส่วนกลาง</v>
      </c>
      <c r="E757" t="s">
        <v>807</v>
      </c>
      <c r="F757" t="s">
        <v>182</v>
      </c>
      <c r="G757" t="str">
        <f>VLOOKUP(F757,รายชื่อลูกบ้าน!$A:$B,2,FALSE)</f>
        <v>คุณสิระพัชร์ หน่อแก้ว</v>
      </c>
      <c r="H757" t="s">
        <v>665</v>
      </c>
      <c r="J757" s="23">
        <v>600.53</v>
      </c>
    </row>
    <row r="758" spans="1:10">
      <c r="A758" s="2">
        <v>242271</v>
      </c>
      <c r="B758" s="7" t="s">
        <v>34</v>
      </c>
      <c r="C758" s="3" t="str">
        <f>VLOOKUP(B758,'Accounts chart'!$A:$B,2,FALSE)</f>
        <v>รายรับค่าส่วนกลาง</v>
      </c>
      <c r="E758" t="s">
        <v>808</v>
      </c>
      <c r="F758" t="s">
        <v>163</v>
      </c>
      <c r="G758" t="str">
        <f>VLOOKUP(F758,รายชื่อลูกบ้าน!$A:$B,2,FALSE)</f>
        <v>คุณสุภาภรณ์ ใจตั้ง</v>
      </c>
      <c r="H758" t="s">
        <v>835</v>
      </c>
      <c r="J758" s="23">
        <v>600</v>
      </c>
    </row>
    <row r="759" spans="1:10">
      <c r="A759" s="2">
        <v>242271</v>
      </c>
      <c r="B759" s="7" t="s">
        <v>34</v>
      </c>
      <c r="C759" s="3" t="str">
        <f>VLOOKUP(B759,'Accounts chart'!$A:$B,2,FALSE)</f>
        <v>รายรับค่าส่วนกลาง</v>
      </c>
      <c r="E759" t="s">
        <v>809</v>
      </c>
      <c r="F759" t="s">
        <v>241</v>
      </c>
      <c r="G759" t="str">
        <f>VLOOKUP(F759,รายชื่อลูกบ้าน!$A:$B,2,FALSE)</f>
        <v>คุณสุกิจ หมื่นยศ</v>
      </c>
      <c r="H759" t="s">
        <v>665</v>
      </c>
      <c r="J759" s="23">
        <v>600</v>
      </c>
    </row>
    <row r="760" spans="1:10">
      <c r="A760" s="2">
        <v>242271</v>
      </c>
      <c r="B760" s="7" t="s">
        <v>34</v>
      </c>
      <c r="C760" s="3" t="str">
        <f>VLOOKUP(B760,'Accounts chart'!$A:$B,2,FALSE)</f>
        <v>รายรับค่าส่วนกลาง</v>
      </c>
      <c r="E760" t="s">
        <v>810</v>
      </c>
      <c r="F760" t="s">
        <v>300</v>
      </c>
      <c r="G760" t="str">
        <f>VLOOKUP(F760,รายชื่อลูกบ้าน!$A:$B,2,FALSE)</f>
        <v>คุณเชาว์วัศ-คุณสุวภาพ เวชทัศน์</v>
      </c>
      <c r="H760" t="s">
        <v>424</v>
      </c>
      <c r="J760" s="23">
        <v>600</v>
      </c>
    </row>
    <row r="761" spans="1:10">
      <c r="A761" s="2">
        <v>242271</v>
      </c>
      <c r="B761" s="7" t="s">
        <v>34</v>
      </c>
      <c r="C761" s="3" t="str">
        <f>VLOOKUP(B761,'Accounts chart'!$A:$B,2,FALSE)</f>
        <v>รายรับค่าส่วนกลาง</v>
      </c>
      <c r="E761" t="s">
        <v>811</v>
      </c>
      <c r="F761" t="s">
        <v>251</v>
      </c>
      <c r="G761" t="str">
        <f>VLOOKUP(F761,รายชื่อลูกบ้าน!$A:$B,2,FALSE)</f>
        <v>คุณวิบูลย์ ฤทธิ์ทองพิทักษ์</v>
      </c>
      <c r="H761" t="s">
        <v>665</v>
      </c>
      <c r="J761" s="23">
        <v>600</v>
      </c>
    </row>
    <row r="762" spans="1:10">
      <c r="A762" s="2"/>
      <c r="C762" s="3"/>
    </row>
    <row r="763" spans="1:10">
      <c r="A763" s="2">
        <v>242272</v>
      </c>
      <c r="B763" s="7" t="s">
        <v>3</v>
      </c>
      <c r="C763" s="3" t="str">
        <f>VLOOKUP(B763,'Accounts chart'!$A:$B,2,FALSE)</f>
        <v>ธนาคารกสิกรไทย SA-040-1-56500-0</v>
      </c>
      <c r="E763" t="s">
        <v>812</v>
      </c>
      <c r="F763" t="s">
        <v>267</v>
      </c>
      <c r="G763" t="str">
        <f>VLOOKUP(F763,รายชื่อลูกบ้าน!$A:$B,2,FALSE)</f>
        <v>คุณดนัย ฮาวต่อมแก้ว</v>
      </c>
      <c r="H763" t="s">
        <v>665</v>
      </c>
      <c r="I763" s="23">
        <v>600</v>
      </c>
    </row>
    <row r="764" spans="1:10">
      <c r="A764" s="2">
        <v>242272</v>
      </c>
      <c r="B764" s="7" t="s">
        <v>3</v>
      </c>
      <c r="C764" s="3" t="str">
        <f>VLOOKUP(B764,'Accounts chart'!$A:$B,2,FALSE)</f>
        <v>ธนาคารกสิกรไทย SA-040-1-56500-0</v>
      </c>
      <c r="E764" t="s">
        <v>813</v>
      </c>
      <c r="F764" t="s">
        <v>369</v>
      </c>
      <c r="G764" t="str">
        <f>VLOOKUP(F764,รายชื่อลูกบ้าน!$A:$B,2,FALSE)</f>
        <v>คุณชัชวาล ธัญญวรินทิพย์</v>
      </c>
      <c r="H764" t="s">
        <v>664</v>
      </c>
      <c r="I764" s="23">
        <v>7200.99</v>
      </c>
    </row>
    <row r="765" spans="1:10">
      <c r="A765" s="2">
        <v>242272</v>
      </c>
      <c r="B765" s="7" t="s">
        <v>34</v>
      </c>
      <c r="C765" s="3" t="str">
        <f>VLOOKUP(B765,'Accounts chart'!$A:$B,2,FALSE)</f>
        <v>รายรับค่าส่วนกลาง</v>
      </c>
      <c r="E765" t="s">
        <v>812</v>
      </c>
      <c r="F765" t="s">
        <v>267</v>
      </c>
      <c r="G765" t="str">
        <f>VLOOKUP(F765,รายชื่อลูกบ้าน!$A:$B,2,FALSE)</f>
        <v>คุณดนัย ฮาวต่อมแก้ว</v>
      </c>
      <c r="H765" t="s">
        <v>665</v>
      </c>
      <c r="J765" s="23">
        <v>600</v>
      </c>
    </row>
    <row r="766" spans="1:10">
      <c r="A766" s="2">
        <v>242272</v>
      </c>
      <c r="B766" s="7" t="s">
        <v>34</v>
      </c>
      <c r="C766" s="3" t="str">
        <f>VLOOKUP(B766,'Accounts chart'!$A:$B,2,FALSE)</f>
        <v>รายรับค่าส่วนกลาง</v>
      </c>
      <c r="E766" t="s">
        <v>813</v>
      </c>
      <c r="F766" t="s">
        <v>369</v>
      </c>
      <c r="G766" t="str">
        <f>VLOOKUP(F766,รายชื่อลูกบ้าน!$A:$B,2,FALSE)</f>
        <v>คุณชัชวาล ธัญญวรินทิพย์</v>
      </c>
      <c r="H766" t="s">
        <v>664</v>
      </c>
      <c r="J766" s="23">
        <v>7200.99</v>
      </c>
    </row>
    <row r="767" spans="1:10">
      <c r="A767" s="2"/>
      <c r="C767" s="3"/>
    </row>
    <row r="768" spans="1:10">
      <c r="A768" s="2">
        <v>242273</v>
      </c>
      <c r="B768" s="7" t="s">
        <v>3</v>
      </c>
      <c r="C768" s="3" t="str">
        <f>VLOOKUP(B768,'Accounts chart'!$A:$B,2,FALSE)</f>
        <v>ธนาคารกสิกรไทย SA-040-1-56500-0</v>
      </c>
      <c r="E768" t="s">
        <v>814</v>
      </c>
      <c r="F768" t="s">
        <v>319</v>
      </c>
      <c r="G768" t="str">
        <f>VLOOKUP(F768,รายชื่อลูกบ้าน!$A:$B,2,FALSE)</f>
        <v>คุณณัฐพงศ์ สุวรรณมณี</v>
      </c>
      <c r="H768" t="s">
        <v>665</v>
      </c>
      <c r="I768" s="23">
        <v>600</v>
      </c>
    </row>
    <row r="769" spans="1:10">
      <c r="A769" s="2">
        <v>242273</v>
      </c>
      <c r="B769" s="7" t="s">
        <v>3</v>
      </c>
      <c r="C769" s="3" t="str">
        <f>VLOOKUP(B769,'Accounts chart'!$A:$B,2,FALSE)</f>
        <v>ธนาคารกสิกรไทย SA-040-1-56500-0</v>
      </c>
      <c r="E769" t="s">
        <v>815</v>
      </c>
      <c r="F769" t="s">
        <v>173</v>
      </c>
      <c r="G769" t="str">
        <f>VLOOKUP(F769,รายชื่อลูกบ้าน!$A:$B,2,FALSE)</f>
        <v>คุณพิริยะ ทรัพย์เจริญ-คุณเยาวเรศ โกสุมพิทักษ์</v>
      </c>
      <c r="H769" t="s">
        <v>665</v>
      </c>
      <c r="I769" s="23">
        <v>600</v>
      </c>
    </row>
    <row r="770" spans="1:10">
      <c r="A770" s="2">
        <v>242273</v>
      </c>
      <c r="B770" s="7" t="s">
        <v>3</v>
      </c>
      <c r="C770" s="3" t="str">
        <f>VLOOKUP(B770,'Accounts chart'!$A:$B,2,FALSE)</f>
        <v>ธนาคารกสิกรไทย SA-040-1-56500-0</v>
      </c>
      <c r="E770" t="s">
        <v>816</v>
      </c>
      <c r="F770" t="s">
        <v>362</v>
      </c>
      <c r="G770" t="str">
        <f>VLOOKUP(F770,รายชื่อลูกบ้าน!$A:$B,2,FALSE)</f>
        <v>คุณพีรภัทร์ ศัสตราพฤกษ์</v>
      </c>
      <c r="H770" t="s">
        <v>665</v>
      </c>
      <c r="I770" s="23">
        <v>600</v>
      </c>
    </row>
    <row r="771" spans="1:10">
      <c r="A771" s="2">
        <v>242273</v>
      </c>
      <c r="B771" s="7" t="s">
        <v>3</v>
      </c>
      <c r="C771" s="3" t="str">
        <f>VLOOKUP(B771,'Accounts chart'!$A:$B,2,FALSE)</f>
        <v>ธนาคารกสิกรไทย SA-040-1-56500-0</v>
      </c>
      <c r="E771" t="s">
        <v>817</v>
      </c>
      <c r="F771" t="s">
        <v>304</v>
      </c>
      <c r="G771" t="str">
        <f>VLOOKUP(F771,รายชื่อลูกบ้าน!$A:$B,2,FALSE)</f>
        <v>คุณกฤษณะ ฤทธิ์โพธิ์</v>
      </c>
      <c r="H771" t="s">
        <v>424</v>
      </c>
      <c r="I771" s="23">
        <v>600</v>
      </c>
    </row>
    <row r="772" spans="1:10">
      <c r="A772" s="2">
        <v>242273</v>
      </c>
      <c r="B772" s="7" t="s">
        <v>3</v>
      </c>
      <c r="C772" s="3" t="str">
        <f>VLOOKUP(B772,'Accounts chart'!$A:$B,2,FALSE)</f>
        <v>ธนาคารกสิกรไทย SA-040-1-56500-0</v>
      </c>
      <c r="E772" t="s">
        <v>818</v>
      </c>
      <c r="F772" t="s">
        <v>304</v>
      </c>
      <c r="G772" t="str">
        <f>VLOOKUP(F772,รายชื่อลูกบ้าน!$A:$B,2,FALSE)</f>
        <v>คุณกฤษณะ ฤทธิ์โพธิ์</v>
      </c>
      <c r="H772" t="s">
        <v>665</v>
      </c>
      <c r="I772" s="23">
        <v>600</v>
      </c>
    </row>
    <row r="773" spans="1:10">
      <c r="A773" s="2">
        <v>242273</v>
      </c>
      <c r="B773" s="7" t="s">
        <v>34</v>
      </c>
      <c r="C773" s="3" t="str">
        <f>VLOOKUP(B773,'Accounts chart'!$A:$B,2,FALSE)</f>
        <v>รายรับค่าส่วนกลาง</v>
      </c>
      <c r="E773" t="s">
        <v>814</v>
      </c>
      <c r="F773" t="s">
        <v>319</v>
      </c>
      <c r="G773" t="str">
        <f>VLOOKUP(F773,รายชื่อลูกบ้าน!$A:$B,2,FALSE)</f>
        <v>คุณณัฐพงศ์ สุวรรณมณี</v>
      </c>
      <c r="H773" t="s">
        <v>665</v>
      </c>
      <c r="J773" s="23">
        <v>600</v>
      </c>
    </row>
    <row r="774" spans="1:10">
      <c r="A774" s="2">
        <v>242273</v>
      </c>
      <c r="B774" s="7" t="s">
        <v>34</v>
      </c>
      <c r="C774" s="3" t="str">
        <f>VLOOKUP(B774,'Accounts chart'!$A:$B,2,FALSE)</f>
        <v>รายรับค่าส่วนกลาง</v>
      </c>
      <c r="E774" t="s">
        <v>815</v>
      </c>
      <c r="F774" t="s">
        <v>173</v>
      </c>
      <c r="G774" t="str">
        <f>VLOOKUP(F774,รายชื่อลูกบ้าน!$A:$B,2,FALSE)</f>
        <v>คุณพิริยะ ทรัพย์เจริญ-คุณเยาวเรศ โกสุมพิทักษ์</v>
      </c>
      <c r="H774" t="s">
        <v>665</v>
      </c>
      <c r="J774" s="23">
        <v>600</v>
      </c>
    </row>
    <row r="775" spans="1:10">
      <c r="A775" s="2">
        <v>242273</v>
      </c>
      <c r="B775" s="7" t="s">
        <v>34</v>
      </c>
      <c r="C775" s="3" t="str">
        <f>VLOOKUP(B775,'Accounts chart'!$A:$B,2,FALSE)</f>
        <v>รายรับค่าส่วนกลาง</v>
      </c>
      <c r="E775" t="s">
        <v>816</v>
      </c>
      <c r="F775" t="s">
        <v>362</v>
      </c>
      <c r="G775" t="str">
        <f>VLOOKUP(F775,รายชื่อลูกบ้าน!$A:$B,2,FALSE)</f>
        <v>คุณพีรภัทร์ ศัสตราพฤกษ์</v>
      </c>
      <c r="H775" t="s">
        <v>665</v>
      </c>
      <c r="J775" s="23">
        <v>600</v>
      </c>
    </row>
    <row r="776" spans="1:10">
      <c r="A776" s="2">
        <v>242273</v>
      </c>
      <c r="B776" s="7" t="s">
        <v>34</v>
      </c>
      <c r="C776" s="3" t="str">
        <f>VLOOKUP(B776,'Accounts chart'!$A:$B,2,FALSE)</f>
        <v>รายรับค่าส่วนกลาง</v>
      </c>
      <c r="E776" t="s">
        <v>817</v>
      </c>
      <c r="F776" t="s">
        <v>304</v>
      </c>
      <c r="G776" t="str">
        <f>VLOOKUP(F776,รายชื่อลูกบ้าน!$A:$B,2,FALSE)</f>
        <v>คุณกฤษณะ ฤทธิ์โพธิ์</v>
      </c>
      <c r="H776" t="s">
        <v>424</v>
      </c>
      <c r="J776" s="23">
        <v>600</v>
      </c>
    </row>
    <row r="777" spans="1:10">
      <c r="A777" s="2">
        <v>242273</v>
      </c>
      <c r="B777" s="7" t="s">
        <v>34</v>
      </c>
      <c r="C777" s="3" t="str">
        <f>VLOOKUP(B777,'Accounts chart'!$A:$B,2,FALSE)</f>
        <v>รายรับค่าส่วนกลาง</v>
      </c>
      <c r="E777" t="s">
        <v>818</v>
      </c>
      <c r="F777" t="s">
        <v>304</v>
      </c>
      <c r="G777" t="str">
        <f>VLOOKUP(F777,รายชื่อลูกบ้าน!$A:$B,2,FALSE)</f>
        <v>คุณกฤษณะ ฤทธิ์โพธิ์</v>
      </c>
      <c r="H777" t="s">
        <v>665</v>
      </c>
      <c r="J777" s="23">
        <v>600</v>
      </c>
    </row>
    <row r="778" spans="1:10">
      <c r="A778" s="2"/>
      <c r="C778" s="3"/>
    </row>
    <row r="779" spans="1:10">
      <c r="A779" s="2">
        <v>242275</v>
      </c>
      <c r="B779" s="7" t="s">
        <v>3</v>
      </c>
      <c r="C779" s="3" t="str">
        <f>VLOOKUP(B779,'Accounts chart'!$A:$B,2,FALSE)</f>
        <v>ธนาคารกสิกรไทย SA-040-1-56500-0</v>
      </c>
      <c r="E779" t="s">
        <v>819</v>
      </c>
      <c r="F779" t="s">
        <v>234</v>
      </c>
      <c r="G779" t="str">
        <f>VLOOKUP(F779,รายชื่อลูกบ้าน!$A:$B,2,FALSE)</f>
        <v>คุณประภัสสร บุญบันดล</v>
      </c>
      <c r="H779" t="s">
        <v>836</v>
      </c>
      <c r="I779" s="23">
        <v>3600</v>
      </c>
    </row>
    <row r="780" spans="1:10">
      <c r="A780" s="2">
        <v>242275</v>
      </c>
      <c r="B780" s="7" t="s">
        <v>3</v>
      </c>
      <c r="C780" s="3" t="str">
        <f>VLOOKUP(B780,'Accounts chart'!$A:$B,2,FALSE)</f>
        <v>ธนาคารกสิกรไทย SA-040-1-56500-0</v>
      </c>
      <c r="E780" t="s">
        <v>820</v>
      </c>
      <c r="F780" t="s">
        <v>143</v>
      </c>
      <c r="G780" t="str">
        <f>VLOOKUP(F780,รายชื่อลูกบ้าน!$A:$B,2,FALSE)</f>
        <v>คุณศิริพร นามวงษ์</v>
      </c>
      <c r="H780" t="s">
        <v>837</v>
      </c>
      <c r="I780" s="23">
        <v>1200</v>
      </c>
    </row>
    <row r="781" spans="1:10">
      <c r="A781" s="2">
        <v>242275</v>
      </c>
      <c r="B781" s="7" t="s">
        <v>3</v>
      </c>
      <c r="C781" s="3" t="str">
        <f>VLOOKUP(B781,'Accounts chart'!$A:$B,2,FALSE)</f>
        <v>ธนาคารกสิกรไทย SA-040-1-56500-0</v>
      </c>
      <c r="E781" t="s">
        <v>821</v>
      </c>
      <c r="F781" t="s">
        <v>209</v>
      </c>
      <c r="G781" t="str">
        <f>VLOOKUP(F781,รายชื่อลูกบ้าน!$A:$B,2,FALSE)</f>
        <v>คุณศักดา ไฮงาม</v>
      </c>
      <c r="H781" t="s">
        <v>661</v>
      </c>
      <c r="I781" s="23">
        <v>1200.69</v>
      </c>
    </row>
    <row r="782" spans="1:10">
      <c r="A782" s="25">
        <v>242275</v>
      </c>
      <c r="B782" s="26" t="s">
        <v>3</v>
      </c>
      <c r="C782" s="27" t="str">
        <f>VLOOKUP(B782,'Accounts chart'!$A:$B,2,FALSE)</f>
        <v>ธนาคารกสิกรไทย SA-040-1-56500-0</v>
      </c>
      <c r="D782" s="4"/>
      <c r="E782" s="4" t="s">
        <v>822</v>
      </c>
      <c r="F782" s="4" t="s">
        <v>834</v>
      </c>
      <c r="G782" s="4" t="e">
        <f>VLOOKUP(F782,รายชื่อลูกบ้าน!$A:$B,2,FALSE)</f>
        <v>#N/A</v>
      </c>
      <c r="H782" s="4" t="s">
        <v>834</v>
      </c>
      <c r="I782" s="28">
        <v>2400</v>
      </c>
      <c r="J782" s="28"/>
    </row>
    <row r="783" spans="1:10">
      <c r="A783" s="2">
        <v>242275</v>
      </c>
      <c r="B783" s="7" t="s">
        <v>34</v>
      </c>
      <c r="C783" s="3" t="str">
        <f>VLOOKUP(B783,'Accounts chart'!$A:$B,2,FALSE)</f>
        <v>รายรับค่าส่วนกลาง</v>
      </c>
      <c r="E783" t="s">
        <v>819</v>
      </c>
      <c r="F783" t="s">
        <v>234</v>
      </c>
      <c r="G783" t="str">
        <f>VLOOKUP(F783,รายชื่อลูกบ้าน!$A:$B,2,FALSE)</f>
        <v>คุณประภัสสร บุญบันดล</v>
      </c>
      <c r="H783" t="s">
        <v>836</v>
      </c>
      <c r="J783" s="23">
        <v>3600</v>
      </c>
    </row>
    <row r="784" spans="1:10">
      <c r="A784" s="2">
        <v>242275</v>
      </c>
      <c r="B784" s="7" t="s">
        <v>34</v>
      </c>
      <c r="C784" s="3" t="str">
        <f>VLOOKUP(B784,'Accounts chart'!$A:$B,2,FALSE)</f>
        <v>รายรับค่าส่วนกลาง</v>
      </c>
      <c r="E784" t="s">
        <v>820</v>
      </c>
      <c r="F784" t="s">
        <v>143</v>
      </c>
      <c r="G784" t="str">
        <f>VLOOKUP(F784,รายชื่อลูกบ้าน!$A:$B,2,FALSE)</f>
        <v>คุณศิริพร นามวงษ์</v>
      </c>
      <c r="H784" t="s">
        <v>837</v>
      </c>
      <c r="J784" s="23">
        <v>1200</v>
      </c>
    </row>
    <row r="785" spans="1:10">
      <c r="A785" s="2">
        <v>242275</v>
      </c>
      <c r="B785" s="7" t="s">
        <v>34</v>
      </c>
      <c r="C785" s="3" t="str">
        <f>VLOOKUP(B785,'Accounts chart'!$A:$B,2,FALSE)</f>
        <v>รายรับค่าส่วนกลาง</v>
      </c>
      <c r="E785" t="s">
        <v>821</v>
      </c>
      <c r="F785" t="s">
        <v>209</v>
      </c>
      <c r="G785" t="str">
        <f>VLOOKUP(F785,รายชื่อลูกบ้าน!$A:$B,2,FALSE)</f>
        <v>คุณศักดา ไฮงาม</v>
      </c>
      <c r="H785" t="s">
        <v>661</v>
      </c>
      <c r="J785" s="23">
        <v>1200.69</v>
      </c>
    </row>
    <row r="786" spans="1:10">
      <c r="A786" s="25">
        <v>242275</v>
      </c>
      <c r="B786" s="26" t="s">
        <v>26</v>
      </c>
      <c r="C786" s="27" t="str">
        <f>VLOOKUP(B786,'Accounts chart'!$A:$B,2,FALSE)</f>
        <v>รายได้ค่าส่วนกลางไม่ทราบชือ</v>
      </c>
      <c r="D786" s="4"/>
      <c r="E786" s="4" t="s">
        <v>822</v>
      </c>
      <c r="F786" s="4" t="s">
        <v>834</v>
      </c>
      <c r="G786" s="4" t="e">
        <f>VLOOKUP(F786,รายชื่อลูกบ้าน!$A:$B,2,FALSE)</f>
        <v>#N/A</v>
      </c>
      <c r="H786" s="4" t="s">
        <v>834</v>
      </c>
      <c r="I786" s="28"/>
      <c r="J786" s="28">
        <v>2400</v>
      </c>
    </row>
    <row r="787" spans="1:10">
      <c r="A787" s="2"/>
      <c r="C787" s="3"/>
    </row>
    <row r="788" spans="1:10">
      <c r="A788" s="2">
        <v>242276</v>
      </c>
      <c r="B788" s="7" t="s">
        <v>3</v>
      </c>
      <c r="C788" s="3" t="str">
        <f>VLOOKUP(B788,'Accounts chart'!$A:$B,2,FALSE)</f>
        <v>ธนาคารกสิกรไทย SA-040-1-56500-0</v>
      </c>
      <c r="E788" t="s">
        <v>823</v>
      </c>
      <c r="F788" t="s">
        <v>201</v>
      </c>
      <c r="G788" t="str">
        <f>VLOOKUP(F788,รายชื่อลูกบ้าน!$A:$B,2,FALSE)</f>
        <v>คุณณัฐธีร์ เลิศรัตน์วัฒนา</v>
      </c>
      <c r="H788" t="s">
        <v>665</v>
      </c>
      <c r="I788" s="23">
        <v>600</v>
      </c>
    </row>
    <row r="789" spans="1:10">
      <c r="A789" s="2">
        <v>242276</v>
      </c>
      <c r="B789" s="7" t="s">
        <v>3</v>
      </c>
      <c r="C789" s="3" t="str">
        <f>VLOOKUP(B789,'Accounts chart'!$A:$B,2,FALSE)</f>
        <v>ธนาคารกสิกรไทย SA-040-1-56500-0</v>
      </c>
      <c r="E789" t="s">
        <v>824</v>
      </c>
      <c r="F789" t="s">
        <v>233</v>
      </c>
      <c r="G789" t="str">
        <f>VLOOKUP(F789,รายชื่อลูกบ้าน!$A:$B,2,FALSE)</f>
        <v>คุณวิทยา วัดเข้าหลาม</v>
      </c>
      <c r="H789" t="s">
        <v>835</v>
      </c>
      <c r="I789" s="23">
        <v>600.80999999999995</v>
      </c>
    </row>
    <row r="790" spans="1:10">
      <c r="A790" s="2">
        <v>242276</v>
      </c>
      <c r="B790" s="7" t="s">
        <v>3</v>
      </c>
      <c r="C790" s="3" t="str">
        <f>VLOOKUP(B790,'Accounts chart'!$A:$B,2,FALSE)</f>
        <v>ธนาคารกสิกรไทย SA-040-1-56500-0</v>
      </c>
      <c r="E790" t="s">
        <v>825</v>
      </c>
      <c r="F790" t="s">
        <v>295</v>
      </c>
      <c r="G790" t="str">
        <f>VLOOKUP(F790,รายชื่อลูกบ้าน!$A:$B,2,FALSE)</f>
        <v>คุณภานุรังสิทธิ์-คุณภญาดา หมื่นจันทร์</v>
      </c>
      <c r="H790" t="s">
        <v>835</v>
      </c>
      <c r="I790" s="23">
        <v>600</v>
      </c>
    </row>
    <row r="791" spans="1:10">
      <c r="A791" s="2">
        <v>242276</v>
      </c>
      <c r="B791" s="7" t="s">
        <v>3</v>
      </c>
      <c r="C791" s="3" t="str">
        <f>VLOOKUP(B791,'Accounts chart'!$A:$B,2,FALSE)</f>
        <v>ธนาคารกสิกรไทย SA-040-1-56500-0</v>
      </c>
      <c r="E791" t="s">
        <v>826</v>
      </c>
      <c r="F791" t="s">
        <v>364</v>
      </c>
      <c r="G791" t="str">
        <f>VLOOKUP(F791,รายชื่อลูกบ้าน!$A:$B,2,FALSE)</f>
        <v>คุณกิตติ แสวงภาค</v>
      </c>
      <c r="H791" t="s">
        <v>835</v>
      </c>
      <c r="I791" s="23">
        <v>600</v>
      </c>
    </row>
    <row r="792" spans="1:10">
      <c r="A792" s="2">
        <v>242276</v>
      </c>
      <c r="B792" s="7" t="s">
        <v>34</v>
      </c>
      <c r="C792" s="3" t="str">
        <f>VLOOKUP(B792,'Accounts chart'!$A:$B,2,FALSE)</f>
        <v>รายรับค่าส่วนกลาง</v>
      </c>
      <c r="E792" t="s">
        <v>823</v>
      </c>
      <c r="F792" t="s">
        <v>201</v>
      </c>
      <c r="G792" t="str">
        <f>VLOOKUP(F792,รายชื่อลูกบ้าน!$A:$B,2,FALSE)</f>
        <v>คุณณัฐธีร์ เลิศรัตน์วัฒนา</v>
      </c>
      <c r="H792" t="s">
        <v>665</v>
      </c>
      <c r="J792" s="23">
        <v>600</v>
      </c>
    </row>
    <row r="793" spans="1:10">
      <c r="A793" s="2">
        <v>242276</v>
      </c>
      <c r="B793" s="7" t="s">
        <v>34</v>
      </c>
      <c r="C793" s="3" t="str">
        <f>VLOOKUP(B793,'Accounts chart'!$A:$B,2,FALSE)</f>
        <v>รายรับค่าส่วนกลาง</v>
      </c>
      <c r="E793" t="s">
        <v>824</v>
      </c>
      <c r="F793" t="s">
        <v>233</v>
      </c>
      <c r="G793" t="str">
        <f>VLOOKUP(F793,รายชื่อลูกบ้าน!$A:$B,2,FALSE)</f>
        <v>คุณวิทยา วัดเข้าหลาม</v>
      </c>
      <c r="H793" t="s">
        <v>835</v>
      </c>
      <c r="J793" s="23">
        <v>600.80999999999995</v>
      </c>
    </row>
    <row r="794" spans="1:10">
      <c r="A794" s="2">
        <v>242276</v>
      </c>
      <c r="B794" s="7" t="s">
        <v>34</v>
      </c>
      <c r="C794" s="3" t="str">
        <f>VLOOKUP(B794,'Accounts chart'!$A:$B,2,FALSE)</f>
        <v>รายรับค่าส่วนกลาง</v>
      </c>
      <c r="E794" t="s">
        <v>825</v>
      </c>
      <c r="F794" t="s">
        <v>295</v>
      </c>
      <c r="G794" t="str">
        <f>VLOOKUP(F794,รายชื่อลูกบ้าน!$A:$B,2,FALSE)</f>
        <v>คุณภานุรังสิทธิ์-คุณภญาดา หมื่นจันทร์</v>
      </c>
      <c r="H794" t="s">
        <v>835</v>
      </c>
      <c r="J794" s="23">
        <v>600</v>
      </c>
    </row>
    <row r="795" spans="1:10">
      <c r="A795" s="2">
        <v>242276</v>
      </c>
      <c r="B795" s="7" t="s">
        <v>34</v>
      </c>
      <c r="C795" s="3" t="str">
        <f>VLOOKUP(B795,'Accounts chart'!$A:$B,2,FALSE)</f>
        <v>รายรับค่าส่วนกลาง</v>
      </c>
      <c r="E795" t="s">
        <v>826</v>
      </c>
      <c r="F795" t="s">
        <v>364</v>
      </c>
      <c r="G795" t="str">
        <f>VLOOKUP(F795,รายชื่อลูกบ้าน!$A:$B,2,FALSE)</f>
        <v>คุณกิตติ แสวงภาค</v>
      </c>
      <c r="H795" t="s">
        <v>835</v>
      </c>
      <c r="J795" s="23">
        <v>600</v>
      </c>
    </row>
    <row r="796" spans="1:10">
      <c r="A796" s="2"/>
      <c r="C796" s="3"/>
    </row>
    <row r="797" spans="1:10">
      <c r="A797" s="2">
        <v>242277</v>
      </c>
      <c r="B797" s="7" t="s">
        <v>3</v>
      </c>
      <c r="C797" s="3" t="str">
        <f>VLOOKUP(B797,'Accounts chart'!$A:$B,2,FALSE)</f>
        <v>ธนาคารกสิกรไทย SA-040-1-56500-0</v>
      </c>
      <c r="E797" t="s">
        <v>827</v>
      </c>
      <c r="F797" t="s">
        <v>339</v>
      </c>
      <c r="G797" t="str">
        <f>VLOOKUP(F797,รายชื่อลูกบ้าน!$A:$B,2,FALSE)</f>
        <v>คุณภควัต สันหนองเมือง</v>
      </c>
      <c r="H797" t="s">
        <v>665</v>
      </c>
      <c r="I797" s="23">
        <v>600</v>
      </c>
    </row>
    <row r="798" spans="1:10">
      <c r="A798" s="2">
        <v>242277</v>
      </c>
      <c r="B798" s="7" t="s">
        <v>3</v>
      </c>
      <c r="C798" s="3" t="str">
        <f>VLOOKUP(B798,'Accounts chart'!$A:$B,2,FALSE)</f>
        <v>ธนาคารกสิกรไทย SA-040-1-56500-0</v>
      </c>
      <c r="E798" t="s">
        <v>828</v>
      </c>
      <c r="F798" t="s">
        <v>323</v>
      </c>
      <c r="G798" t="str">
        <f>VLOOKUP(F798,รายชื่อลูกบ้าน!$A:$B,2,FALSE)</f>
        <v>คุณเกียงไกร ไชยเดช</v>
      </c>
      <c r="H798" t="s">
        <v>665</v>
      </c>
      <c r="I798" s="23">
        <v>600</v>
      </c>
    </row>
    <row r="799" spans="1:10">
      <c r="A799" s="2">
        <v>242277</v>
      </c>
      <c r="B799" s="7" t="s">
        <v>3</v>
      </c>
      <c r="C799" s="3" t="str">
        <f>VLOOKUP(B799,'Accounts chart'!$A:$B,2,FALSE)</f>
        <v>ธนาคารกสิกรไทย SA-040-1-56500-0</v>
      </c>
      <c r="E799" t="s">
        <v>829</v>
      </c>
      <c r="F799" t="s">
        <v>185</v>
      </c>
      <c r="G799" t="str">
        <f>VLOOKUP(F799,รายชื่อลูกบ้าน!$A:$B,2,FALSE)</f>
        <v>คุณชาญชัย ตนะศุภผล</v>
      </c>
      <c r="H799" t="s">
        <v>835</v>
      </c>
      <c r="I799" s="23">
        <v>600.54999999999995</v>
      </c>
    </row>
    <row r="800" spans="1:10">
      <c r="A800" s="2">
        <v>242277</v>
      </c>
      <c r="B800" s="7" t="s">
        <v>3</v>
      </c>
      <c r="C800" s="3" t="str">
        <f>VLOOKUP(B800,'Accounts chart'!$A:$B,2,FALSE)</f>
        <v>ธนาคารกสิกรไทย SA-040-1-56500-0</v>
      </c>
      <c r="E800" t="s">
        <v>830</v>
      </c>
      <c r="F800" t="s">
        <v>72</v>
      </c>
      <c r="G800" t="str">
        <f>VLOOKUP(F800,รายชื่อลูกบ้าน!$A:$B,2,FALSE)</f>
        <v>คุณวรวุฒิ นาทอง</v>
      </c>
      <c r="H800" t="s">
        <v>665</v>
      </c>
      <c r="I800" s="23">
        <v>600</v>
      </c>
    </row>
    <row r="801" spans="1:10">
      <c r="A801" s="2">
        <v>242277</v>
      </c>
      <c r="B801" s="7" t="s">
        <v>3</v>
      </c>
      <c r="C801" s="3" t="str">
        <f>VLOOKUP(B801,'Accounts chart'!$A:$B,2,FALSE)</f>
        <v>ธนาคารกสิกรไทย SA-040-1-56500-0</v>
      </c>
      <c r="E801" t="s">
        <v>831</v>
      </c>
      <c r="F801" t="s">
        <v>101</v>
      </c>
      <c r="G801" t="str">
        <f>VLOOKUP(F801,รายชื่อลูกบ้าน!$A:$B,2,FALSE)</f>
        <v>คุณเฉลิมเกียรติ และนางนันริญา ราชนาจันทร์</v>
      </c>
      <c r="H801" t="s">
        <v>665</v>
      </c>
      <c r="I801" s="23">
        <v>600</v>
      </c>
    </row>
    <row r="802" spans="1:10">
      <c r="A802" s="2">
        <v>242277</v>
      </c>
      <c r="B802" s="7" t="s">
        <v>3</v>
      </c>
      <c r="C802" s="3" t="str">
        <f>VLOOKUP(B802,'Accounts chart'!$A:$B,2,FALSE)</f>
        <v>ธนาคารกสิกรไทย SA-040-1-56500-0</v>
      </c>
      <c r="E802" t="s">
        <v>832</v>
      </c>
      <c r="F802" t="s">
        <v>285</v>
      </c>
      <c r="G802" t="str">
        <f>VLOOKUP(F802,รายชื่อลูกบ้าน!$A:$B,2,FALSE)</f>
        <v>คุณประจักษ์ เนื่องละออ-คุณวนิดา เส็งนิสัย</v>
      </c>
      <c r="H802" t="s">
        <v>665</v>
      </c>
      <c r="I802" s="23">
        <v>600</v>
      </c>
    </row>
    <row r="803" spans="1:10">
      <c r="A803" s="2">
        <v>242277</v>
      </c>
      <c r="B803" s="7" t="s">
        <v>3</v>
      </c>
      <c r="C803" s="3" t="str">
        <f>VLOOKUP(B803,'Accounts chart'!$A:$B,2,FALSE)</f>
        <v>ธนาคารกสิกรไทย SA-040-1-56500-0</v>
      </c>
      <c r="E803" t="s">
        <v>833</v>
      </c>
      <c r="F803" t="s">
        <v>187</v>
      </c>
      <c r="G803" t="str">
        <f>VLOOKUP(F803,รายชื่อลูกบ้าน!$A:$B,2,FALSE)</f>
        <v>นายญัชพล ภู่ถาวร</v>
      </c>
      <c r="H803" t="s">
        <v>835</v>
      </c>
      <c r="I803" s="23">
        <v>600</v>
      </c>
    </row>
    <row r="804" spans="1:10">
      <c r="A804" s="2">
        <v>242277</v>
      </c>
      <c r="B804" s="7" t="s">
        <v>34</v>
      </c>
      <c r="C804" s="3" t="str">
        <f>VLOOKUP(B804,'Accounts chart'!$A:$B,2,FALSE)</f>
        <v>รายรับค่าส่วนกลาง</v>
      </c>
      <c r="E804" t="s">
        <v>827</v>
      </c>
      <c r="F804" t="s">
        <v>339</v>
      </c>
      <c r="G804" t="str">
        <f>VLOOKUP(F804,รายชื่อลูกบ้าน!$A:$B,2,FALSE)</f>
        <v>คุณภควัต สันหนองเมือง</v>
      </c>
      <c r="H804" t="s">
        <v>665</v>
      </c>
      <c r="J804" s="23">
        <v>600</v>
      </c>
    </row>
    <row r="805" spans="1:10">
      <c r="A805" s="2">
        <v>242277</v>
      </c>
      <c r="B805" s="7" t="s">
        <v>34</v>
      </c>
      <c r="C805" s="3" t="str">
        <f>VLOOKUP(B805,'Accounts chart'!$A:$B,2,FALSE)</f>
        <v>รายรับค่าส่วนกลาง</v>
      </c>
      <c r="E805" t="s">
        <v>828</v>
      </c>
      <c r="F805" t="s">
        <v>323</v>
      </c>
      <c r="G805" t="str">
        <f>VLOOKUP(F805,รายชื่อลูกบ้าน!$A:$B,2,FALSE)</f>
        <v>คุณเกียงไกร ไชยเดช</v>
      </c>
      <c r="H805" t="s">
        <v>665</v>
      </c>
      <c r="J805" s="23">
        <v>600</v>
      </c>
    </row>
    <row r="806" spans="1:10">
      <c r="A806" s="2">
        <v>242277</v>
      </c>
      <c r="B806" s="7" t="s">
        <v>34</v>
      </c>
      <c r="C806" s="3" t="str">
        <f>VLOOKUP(B806,'Accounts chart'!$A:$B,2,FALSE)</f>
        <v>รายรับค่าส่วนกลาง</v>
      </c>
      <c r="E806" t="s">
        <v>829</v>
      </c>
      <c r="F806" t="s">
        <v>185</v>
      </c>
      <c r="G806" t="str">
        <f>VLOOKUP(F806,รายชื่อลูกบ้าน!$A:$B,2,FALSE)</f>
        <v>คุณชาญชัย ตนะศุภผล</v>
      </c>
      <c r="H806" t="s">
        <v>835</v>
      </c>
      <c r="J806" s="23">
        <v>600.54999999999995</v>
      </c>
    </row>
    <row r="807" spans="1:10">
      <c r="A807" s="2">
        <v>242277</v>
      </c>
      <c r="B807" s="7" t="s">
        <v>34</v>
      </c>
      <c r="C807" s="3" t="str">
        <f>VLOOKUP(B807,'Accounts chart'!$A:$B,2,FALSE)</f>
        <v>รายรับค่าส่วนกลาง</v>
      </c>
      <c r="E807" t="s">
        <v>830</v>
      </c>
      <c r="F807" t="s">
        <v>72</v>
      </c>
      <c r="G807" t="str">
        <f>VLOOKUP(F807,รายชื่อลูกบ้าน!$A:$B,2,FALSE)</f>
        <v>คุณวรวุฒิ นาทอง</v>
      </c>
      <c r="H807" t="s">
        <v>665</v>
      </c>
      <c r="J807" s="23">
        <v>600</v>
      </c>
    </row>
    <row r="808" spans="1:10">
      <c r="A808" s="2">
        <v>242277</v>
      </c>
      <c r="B808" s="7" t="s">
        <v>34</v>
      </c>
      <c r="C808" s="3" t="str">
        <f>VLOOKUP(B808,'Accounts chart'!$A:$B,2,FALSE)</f>
        <v>รายรับค่าส่วนกลาง</v>
      </c>
      <c r="E808" t="s">
        <v>831</v>
      </c>
      <c r="F808" t="s">
        <v>101</v>
      </c>
      <c r="G808" t="str">
        <f>VLOOKUP(F808,รายชื่อลูกบ้าน!$A:$B,2,FALSE)</f>
        <v>คุณเฉลิมเกียรติ และนางนันริญา ราชนาจันทร์</v>
      </c>
      <c r="H808" t="s">
        <v>665</v>
      </c>
      <c r="J808" s="23">
        <v>600</v>
      </c>
    </row>
    <row r="809" spans="1:10">
      <c r="A809" s="2">
        <v>242277</v>
      </c>
      <c r="B809" s="7" t="s">
        <v>34</v>
      </c>
      <c r="C809" s="3" t="str">
        <f>VLOOKUP(B809,'Accounts chart'!$A:$B,2,FALSE)</f>
        <v>รายรับค่าส่วนกลาง</v>
      </c>
      <c r="E809" t="s">
        <v>832</v>
      </c>
      <c r="F809" t="s">
        <v>285</v>
      </c>
      <c r="G809" t="str">
        <f>VLOOKUP(F809,รายชื่อลูกบ้าน!$A:$B,2,FALSE)</f>
        <v>คุณประจักษ์ เนื่องละออ-คุณวนิดา เส็งนิสัย</v>
      </c>
      <c r="H809" t="s">
        <v>665</v>
      </c>
      <c r="J809" s="23">
        <v>600</v>
      </c>
    </row>
    <row r="810" spans="1:10">
      <c r="A810" s="2">
        <v>242277</v>
      </c>
      <c r="B810" s="7" t="s">
        <v>34</v>
      </c>
      <c r="C810" s="3" t="str">
        <f>VLOOKUP(B810,'Accounts chart'!$A:$B,2,FALSE)</f>
        <v>รายรับค่าส่วนกลาง</v>
      </c>
      <c r="E810" t="s">
        <v>833</v>
      </c>
      <c r="F810" t="s">
        <v>187</v>
      </c>
      <c r="G810" t="str">
        <f>VLOOKUP(F810,รายชื่อลูกบ้าน!$A:$B,2,FALSE)</f>
        <v>นายญัชพล ภู่ถาวร</v>
      </c>
      <c r="H810" t="s">
        <v>835</v>
      </c>
      <c r="J810" s="23">
        <v>600</v>
      </c>
    </row>
    <row r="811" spans="1:10">
      <c r="A811" s="2"/>
      <c r="C811" s="3"/>
    </row>
    <row r="812" spans="1:10">
      <c r="A812" s="2">
        <v>242277</v>
      </c>
      <c r="B812" s="7" t="s">
        <v>46</v>
      </c>
      <c r="C812" s="3" t="str">
        <f>VLOOKUP(B812,'Accounts chart'!$A:$B,2,FALSE)</f>
        <v>ค่าดูแลส่วนกลาง</v>
      </c>
      <c r="D812" t="s">
        <v>965</v>
      </c>
      <c r="H812" t="s">
        <v>966</v>
      </c>
      <c r="I812" s="23">
        <v>15000</v>
      </c>
    </row>
    <row r="813" spans="1:10">
      <c r="A813" s="2">
        <v>242277</v>
      </c>
      <c r="B813" s="7" t="s">
        <v>48</v>
      </c>
      <c r="C813" s="3" t="str">
        <f>VLOOKUP(B813,'Accounts chart'!$A:$B,2,FALSE)</f>
        <v>ค่ารักษาความปลอดภัย</v>
      </c>
      <c r="D813" t="s">
        <v>965</v>
      </c>
      <c r="H813" t="s">
        <v>966</v>
      </c>
      <c r="I813" s="23">
        <v>38814.32</v>
      </c>
    </row>
    <row r="814" spans="1:10">
      <c r="A814" s="2">
        <v>242277</v>
      </c>
      <c r="B814" s="7" t="s">
        <v>50</v>
      </c>
      <c r="C814" s="3" t="str">
        <f>VLOOKUP(B814,'Accounts chart'!$A:$B,2,FALSE)</f>
        <v>ค่าเก็บขยะ</v>
      </c>
      <c r="D814" t="s">
        <v>965</v>
      </c>
      <c r="H814" t="s">
        <v>966</v>
      </c>
      <c r="I814" s="23">
        <v>3000</v>
      </c>
    </row>
    <row r="815" spans="1:10">
      <c r="A815" s="2">
        <v>242277</v>
      </c>
      <c r="B815" s="7" t="s">
        <v>54</v>
      </c>
      <c r="C815" s="3" t="str">
        <f>VLOOKUP(B815,'Accounts chart'!$A:$B,2,FALSE)</f>
        <v>ค่าไฟฟ้า</v>
      </c>
      <c r="D815" t="s">
        <v>965</v>
      </c>
      <c r="H815" t="s">
        <v>966</v>
      </c>
      <c r="I815" s="23">
        <v>5777.06</v>
      </c>
    </row>
    <row r="816" spans="1:10">
      <c r="A816" s="2">
        <v>242277</v>
      </c>
      <c r="B816" s="7" t="s">
        <v>22</v>
      </c>
      <c r="C816" s="3" t="str">
        <f>VLOOKUP(B816,'Accounts chart'!$A:$B,2,FALSE)</f>
        <v>ค่าดูแลส่วนกลางค้างจ่าย</v>
      </c>
      <c r="D816" t="s">
        <v>965</v>
      </c>
      <c r="H816" t="s">
        <v>966</v>
      </c>
      <c r="J816" s="23">
        <v>15000</v>
      </c>
    </row>
    <row r="817" spans="1:10">
      <c r="A817" s="2">
        <v>242277</v>
      </c>
      <c r="B817" s="7" t="s">
        <v>18</v>
      </c>
      <c r="C817" s="3" t="str">
        <f>VLOOKUP(B817,'Accounts chart'!$A:$B,2,FALSE)</f>
        <v>ค่ารักษาความปลอดภัยค้างจ่าย</v>
      </c>
      <c r="D817" t="s">
        <v>965</v>
      </c>
      <c r="H817" t="s">
        <v>966</v>
      </c>
      <c r="J817" s="23">
        <v>38814.32</v>
      </c>
    </row>
    <row r="818" spans="1:10">
      <c r="A818" s="2">
        <v>242277</v>
      </c>
      <c r="B818" s="7" t="s">
        <v>14</v>
      </c>
      <c r="C818" s="3" t="str">
        <f>VLOOKUP(B818,'Accounts chart'!$A:$B,2,FALSE)</f>
        <v>ค่าเก็บขยะค้างจ่าย</v>
      </c>
      <c r="D818" t="s">
        <v>965</v>
      </c>
      <c r="H818" t="s">
        <v>966</v>
      </c>
      <c r="J818" s="23">
        <v>3000</v>
      </c>
    </row>
    <row r="819" spans="1:10">
      <c r="A819" s="2">
        <v>242277</v>
      </c>
      <c r="B819" s="7" t="s">
        <v>20</v>
      </c>
      <c r="C819" s="3" t="str">
        <f>VLOOKUP(B819,'Accounts chart'!$A:$B,2,FALSE)</f>
        <v>ค่าไฟฟ้าค้างจ่าย</v>
      </c>
      <c r="D819" t="s">
        <v>965</v>
      </c>
      <c r="H819" t="s">
        <v>966</v>
      </c>
      <c r="J819" s="23">
        <v>5777.06</v>
      </c>
    </row>
    <row r="820" spans="1:10">
      <c r="A820" s="2"/>
      <c r="C820" s="3"/>
    </row>
    <row r="822" spans="1:10">
      <c r="A822" s="2">
        <v>242278</v>
      </c>
      <c r="B822" s="7" t="s">
        <v>3</v>
      </c>
      <c r="C822" s="3" t="str">
        <f>VLOOKUP(B822,'Accounts chart'!$A:$B,2,FALSE)</f>
        <v>ธนาคารกสิกรไทย SA-040-1-56500-0</v>
      </c>
      <c r="E822" t="s">
        <v>838</v>
      </c>
      <c r="F822" t="s">
        <v>109</v>
      </c>
      <c r="G822" t="str">
        <f>VLOOKUP(F822,รายชื่อลูกบ้าน!$A:$B,2,FALSE)</f>
        <v>คุณพัฒนชญา+คุณธิตินันท์ วงค์บุปผา</v>
      </c>
      <c r="H822" t="s">
        <v>835</v>
      </c>
      <c r="I822" s="23">
        <v>600</v>
      </c>
    </row>
    <row r="823" spans="1:10">
      <c r="A823" s="2">
        <v>242278</v>
      </c>
      <c r="B823" s="7" t="s">
        <v>3</v>
      </c>
      <c r="C823" s="3" t="str">
        <f>VLOOKUP(B823,'Accounts chart'!$A:$B,2,FALSE)</f>
        <v>ธนาคารกสิกรไทย SA-040-1-56500-0</v>
      </c>
      <c r="E823" t="s">
        <v>839</v>
      </c>
      <c r="F823" t="s">
        <v>374</v>
      </c>
      <c r="G823" t="str">
        <f>VLOOKUP(F823,รายชื่อลูกบ้าน!$A:$B,2,FALSE)</f>
        <v>คุณเกียรติภูมิ วิรติภูมิ</v>
      </c>
      <c r="H823" t="s">
        <v>835</v>
      </c>
      <c r="I823" s="23">
        <v>600.9</v>
      </c>
    </row>
    <row r="824" spans="1:10">
      <c r="A824" s="2">
        <v>242278</v>
      </c>
      <c r="B824" s="7" t="s">
        <v>3</v>
      </c>
      <c r="C824" s="3" t="str">
        <f>VLOOKUP(B824,'Accounts chart'!$A:$B,2,FALSE)</f>
        <v>ธนาคารกสิกรไทย SA-040-1-56500-0</v>
      </c>
      <c r="E824" t="s">
        <v>840</v>
      </c>
      <c r="F824" t="s">
        <v>69</v>
      </c>
      <c r="G824" t="str">
        <f>VLOOKUP(F824,รายชื่อลูกบ้าน!$A:$B,2,FALSE)</f>
        <v>คุณโกวิท-คุณศันสนีย์ รัตนมณี</v>
      </c>
      <c r="H824" t="s">
        <v>665</v>
      </c>
      <c r="I824" s="23">
        <v>600</v>
      </c>
    </row>
    <row r="825" spans="1:10">
      <c r="A825" s="2">
        <v>242278</v>
      </c>
      <c r="B825" s="7" t="s">
        <v>3</v>
      </c>
      <c r="C825" s="3" t="str">
        <f>VLOOKUP(B825,'Accounts chart'!$A:$B,2,FALSE)</f>
        <v>ธนาคารกสิกรไทย SA-040-1-56500-0</v>
      </c>
      <c r="E825" t="s">
        <v>841</v>
      </c>
      <c r="F825" t="s">
        <v>122</v>
      </c>
      <c r="G825" t="str">
        <f>VLOOKUP(F825,รายชื่อลูกบ้าน!$A:$B,2,FALSE)</f>
        <v>คุณศิวกร รัตนประดิษฐ์</v>
      </c>
      <c r="H825" t="s">
        <v>835</v>
      </c>
      <c r="I825" s="23">
        <v>600</v>
      </c>
    </row>
    <row r="826" spans="1:10">
      <c r="A826" s="25">
        <v>242278</v>
      </c>
      <c r="B826" s="26" t="s">
        <v>3</v>
      </c>
      <c r="C826" s="27" t="str">
        <f>VLOOKUP(B826,'Accounts chart'!$A:$B,2,FALSE)</f>
        <v>ธนาคารกสิกรไทย SA-040-1-56500-0</v>
      </c>
      <c r="D826" s="4"/>
      <c r="E826" s="4" t="s">
        <v>842</v>
      </c>
      <c r="F826" s="4" t="s">
        <v>834</v>
      </c>
      <c r="G826" s="4" t="e">
        <f>VLOOKUP(F826,รายชื่อลูกบ้าน!$A:$B,2,FALSE)</f>
        <v>#N/A</v>
      </c>
      <c r="H826" s="4" t="s">
        <v>834</v>
      </c>
      <c r="I826" s="28">
        <v>600</v>
      </c>
      <c r="J826" s="28"/>
    </row>
    <row r="827" spans="1:10">
      <c r="A827" s="2">
        <v>242278</v>
      </c>
      <c r="B827" s="7" t="s">
        <v>34</v>
      </c>
      <c r="C827" s="3" t="str">
        <f>VLOOKUP(B827,'Accounts chart'!$A:$B,2,FALSE)</f>
        <v>รายรับค่าส่วนกลาง</v>
      </c>
      <c r="E827" t="s">
        <v>838</v>
      </c>
      <c r="F827" t="s">
        <v>109</v>
      </c>
      <c r="G827" t="s">
        <v>110</v>
      </c>
      <c r="H827" t="s">
        <v>835</v>
      </c>
      <c r="I827" s="20"/>
      <c r="J827" s="20">
        <v>600</v>
      </c>
    </row>
    <row r="828" spans="1:10">
      <c r="A828" s="2">
        <v>242278</v>
      </c>
      <c r="B828" s="7" t="s">
        <v>34</v>
      </c>
      <c r="C828" s="3" t="str">
        <f>VLOOKUP(B828,'Accounts chart'!$A:$B,2,FALSE)</f>
        <v>รายรับค่าส่วนกลาง</v>
      </c>
      <c r="E828" t="s">
        <v>839</v>
      </c>
      <c r="F828" t="s">
        <v>374</v>
      </c>
      <c r="G828" t="s">
        <v>382</v>
      </c>
      <c r="H828" t="s">
        <v>835</v>
      </c>
      <c r="I828" s="20"/>
      <c r="J828" s="20">
        <v>600.9</v>
      </c>
    </row>
    <row r="829" spans="1:10">
      <c r="A829" s="2">
        <v>242278</v>
      </c>
      <c r="B829" s="7" t="s">
        <v>34</v>
      </c>
      <c r="C829" s="3" t="str">
        <f>VLOOKUP(B829,'Accounts chart'!$A:$B,2,FALSE)</f>
        <v>รายรับค่าส่วนกลาง</v>
      </c>
      <c r="E829" t="s">
        <v>840</v>
      </c>
      <c r="F829" t="s">
        <v>69</v>
      </c>
      <c r="G829" t="s">
        <v>70</v>
      </c>
      <c r="H829" t="s">
        <v>665</v>
      </c>
      <c r="I829" s="20"/>
      <c r="J829" s="20">
        <v>600</v>
      </c>
    </row>
    <row r="830" spans="1:10">
      <c r="A830" s="2">
        <v>242278</v>
      </c>
      <c r="B830" s="7" t="s">
        <v>34</v>
      </c>
      <c r="C830" s="3" t="str">
        <f>VLOOKUP(B830,'Accounts chart'!$A:$B,2,FALSE)</f>
        <v>รายรับค่าส่วนกลาง</v>
      </c>
      <c r="E830" t="s">
        <v>841</v>
      </c>
      <c r="F830" t="s">
        <v>122</v>
      </c>
      <c r="G830" t="s">
        <v>123</v>
      </c>
      <c r="H830" t="s">
        <v>835</v>
      </c>
      <c r="I830" s="20"/>
      <c r="J830" s="20">
        <v>600</v>
      </c>
    </row>
    <row r="831" spans="1:10">
      <c r="A831" s="25">
        <v>242278</v>
      </c>
      <c r="B831" s="26" t="s">
        <v>26</v>
      </c>
      <c r="C831" s="27" t="str">
        <f>VLOOKUP(B831,'Accounts chart'!$A:$B,2,FALSE)</f>
        <v>รายได้ค่าส่วนกลางไม่ทราบชือ</v>
      </c>
      <c r="D831" s="4"/>
      <c r="E831" s="4" t="s">
        <v>842</v>
      </c>
      <c r="F831" s="4" t="s">
        <v>834</v>
      </c>
      <c r="G831" s="4" t="e">
        <v>#N/A</v>
      </c>
      <c r="H831" s="4" t="s">
        <v>834</v>
      </c>
      <c r="I831" s="28"/>
      <c r="J831" s="28">
        <v>600</v>
      </c>
    </row>
    <row r="832" spans="1:10">
      <c r="A832" s="2"/>
      <c r="C832" s="3"/>
      <c r="I832" s="20"/>
      <c r="J832" s="20"/>
    </row>
    <row r="833" spans="1:10">
      <c r="A833" s="2">
        <v>242279</v>
      </c>
      <c r="B833" s="7" t="s">
        <v>3</v>
      </c>
      <c r="C833" s="3" t="str">
        <f>VLOOKUP(B833,'Accounts chart'!$A:$B,2,FALSE)</f>
        <v>ธนาคารกสิกรไทย SA-040-1-56500-0</v>
      </c>
      <c r="E833" t="s">
        <v>843</v>
      </c>
      <c r="F833" t="s">
        <v>225</v>
      </c>
      <c r="G833" t="str">
        <f>VLOOKUP(F833,รายชื่อลูกบ้าน!$A:$B,2,FALSE)</f>
        <v>คุณถวิล เคสา</v>
      </c>
      <c r="H833" t="s">
        <v>835</v>
      </c>
      <c r="I833" s="23">
        <v>600</v>
      </c>
    </row>
    <row r="834" spans="1:10">
      <c r="A834" s="2">
        <v>242279</v>
      </c>
      <c r="B834" s="7" t="s">
        <v>3</v>
      </c>
      <c r="C834" s="3" t="str">
        <f>VLOOKUP(B834,'Accounts chart'!$A:$B,2,FALSE)</f>
        <v>ธนาคารกสิกรไทย SA-040-1-56500-0</v>
      </c>
      <c r="E834" t="s">
        <v>844</v>
      </c>
      <c r="F834" t="s">
        <v>313</v>
      </c>
      <c r="G834" t="str">
        <f>VLOOKUP(F834,รายชื่อลูกบ้าน!$A:$B,2,FALSE)</f>
        <v>คุณภานุมาศ ธนาธรศิริยุทธ์</v>
      </c>
      <c r="H834" t="s">
        <v>835</v>
      </c>
      <c r="I834" s="23">
        <v>600</v>
      </c>
    </row>
    <row r="835" spans="1:10">
      <c r="A835" s="2">
        <v>242279</v>
      </c>
      <c r="B835" s="7" t="s">
        <v>3</v>
      </c>
      <c r="C835" s="3" t="str">
        <f>VLOOKUP(B835,'Accounts chart'!$A:$B,2,FALSE)</f>
        <v>ธนาคารกสิกรไทย SA-040-1-56500-0</v>
      </c>
      <c r="E835" t="s">
        <v>845</v>
      </c>
      <c r="F835" t="s">
        <v>337</v>
      </c>
      <c r="G835" t="str">
        <f>VLOOKUP(F835,รายชื่อลูกบ้าน!$A:$B,2,FALSE)</f>
        <v>คุณพงศกร-คุณปิยะพร ปาเลิง</v>
      </c>
      <c r="H835" t="s">
        <v>899</v>
      </c>
      <c r="I835" s="23">
        <v>1200</v>
      </c>
    </row>
    <row r="836" spans="1:10">
      <c r="A836" s="2">
        <v>242279</v>
      </c>
      <c r="B836" s="7" t="s">
        <v>34</v>
      </c>
      <c r="C836" s="3" t="str">
        <f>VLOOKUP(B836,'Accounts chart'!$A:$B,2,FALSE)</f>
        <v>รายรับค่าส่วนกลาง</v>
      </c>
      <c r="E836" t="s">
        <v>843</v>
      </c>
      <c r="F836" t="s">
        <v>225</v>
      </c>
      <c r="G836" t="str">
        <f>VLOOKUP(F836,รายชื่อลูกบ้าน!$A:$B,2,FALSE)</f>
        <v>คุณถวิล เคสา</v>
      </c>
      <c r="H836" t="s">
        <v>835</v>
      </c>
      <c r="J836" s="23">
        <v>600</v>
      </c>
    </row>
    <row r="837" spans="1:10">
      <c r="A837" s="2">
        <v>242279</v>
      </c>
      <c r="B837" s="7" t="s">
        <v>34</v>
      </c>
      <c r="C837" s="3" t="str">
        <f>VLOOKUP(B837,'Accounts chart'!$A:$B,2,FALSE)</f>
        <v>รายรับค่าส่วนกลาง</v>
      </c>
      <c r="E837" t="s">
        <v>844</v>
      </c>
      <c r="F837" t="s">
        <v>313</v>
      </c>
      <c r="G837" t="str">
        <f>VLOOKUP(F837,รายชื่อลูกบ้าน!$A:$B,2,FALSE)</f>
        <v>คุณภานุมาศ ธนาธรศิริยุทธ์</v>
      </c>
      <c r="H837" t="s">
        <v>835</v>
      </c>
      <c r="J837" s="23">
        <v>600</v>
      </c>
    </row>
    <row r="838" spans="1:10">
      <c r="A838" s="2">
        <v>242279</v>
      </c>
      <c r="B838" s="7" t="s">
        <v>34</v>
      </c>
      <c r="C838" s="3" t="str">
        <f>VLOOKUP(B838,'Accounts chart'!$A:$B,2,FALSE)</f>
        <v>รายรับค่าส่วนกลาง</v>
      </c>
      <c r="E838" t="s">
        <v>845</v>
      </c>
      <c r="F838" t="s">
        <v>337</v>
      </c>
      <c r="G838" t="str">
        <f>VLOOKUP(F838,รายชื่อลูกบ้าน!$A:$B,2,FALSE)</f>
        <v>คุณพงศกร-คุณปิยะพร ปาเลิง</v>
      </c>
      <c r="H838" t="s">
        <v>899</v>
      </c>
      <c r="J838" s="23">
        <v>1200</v>
      </c>
    </row>
    <row r="839" spans="1:10">
      <c r="A839" s="2"/>
      <c r="C839" s="3"/>
    </row>
    <row r="840" spans="1:10">
      <c r="A840" s="2">
        <v>242280</v>
      </c>
      <c r="B840" s="7" t="s">
        <v>3</v>
      </c>
      <c r="C840" s="3" t="str">
        <f>VLOOKUP(B840,'Accounts chart'!$A:$B,2,FALSE)</f>
        <v>ธนาคารกสิกรไทย SA-040-1-56500-0</v>
      </c>
      <c r="E840" t="s">
        <v>846</v>
      </c>
      <c r="F840" t="s">
        <v>263</v>
      </c>
      <c r="G840" t="str">
        <f>VLOOKUP(F840,รายชื่อลูกบ้าน!$A:$B,2,FALSE)</f>
        <v>คุณธัญพร โชคศิริภาวรตาซเซ</v>
      </c>
      <c r="H840" t="s">
        <v>837</v>
      </c>
      <c r="I840" s="23">
        <v>1200</v>
      </c>
    </row>
    <row r="841" spans="1:10">
      <c r="A841" s="2">
        <v>242280</v>
      </c>
      <c r="B841" s="7" t="s">
        <v>3</v>
      </c>
      <c r="C841" s="3" t="str">
        <f>VLOOKUP(B841,'Accounts chart'!$A:$B,2,FALSE)</f>
        <v>ธนาคารกสิกรไทย SA-040-1-56500-0</v>
      </c>
      <c r="E841" t="s">
        <v>847</v>
      </c>
      <c r="F841" t="s">
        <v>87</v>
      </c>
      <c r="G841" t="str">
        <f>VLOOKUP(F841,รายชื่อลูกบ้าน!$A:$B,2,FALSE)</f>
        <v>คุณคงกฤษณ์ กาญจนพฤกษ์</v>
      </c>
      <c r="H841" t="s">
        <v>665</v>
      </c>
      <c r="I841" s="23">
        <v>600</v>
      </c>
    </row>
    <row r="842" spans="1:10">
      <c r="A842" s="2">
        <v>242280</v>
      </c>
      <c r="B842" s="7" t="s">
        <v>34</v>
      </c>
      <c r="C842" s="3" t="str">
        <f>VLOOKUP(B842,'Accounts chart'!$A:$B,2,FALSE)</f>
        <v>รายรับค่าส่วนกลาง</v>
      </c>
      <c r="E842" t="s">
        <v>846</v>
      </c>
      <c r="F842" t="s">
        <v>263</v>
      </c>
      <c r="G842" t="str">
        <f>VLOOKUP(F842,รายชื่อลูกบ้าน!$A:$B,2,FALSE)</f>
        <v>คุณธัญพร โชคศิริภาวรตาซเซ</v>
      </c>
      <c r="H842" t="s">
        <v>837</v>
      </c>
      <c r="J842" s="23">
        <v>1200</v>
      </c>
    </row>
    <row r="843" spans="1:10">
      <c r="A843" s="2">
        <v>242280</v>
      </c>
      <c r="B843" s="7" t="s">
        <v>34</v>
      </c>
      <c r="C843" s="3" t="str">
        <f>VLOOKUP(B843,'Accounts chart'!$A:$B,2,FALSE)</f>
        <v>รายรับค่าส่วนกลาง</v>
      </c>
      <c r="E843" t="s">
        <v>847</v>
      </c>
      <c r="F843" t="s">
        <v>87</v>
      </c>
      <c r="G843" t="str">
        <f>VLOOKUP(F843,รายชื่อลูกบ้าน!$A:$B,2,FALSE)</f>
        <v>คุณคงกฤษณ์ กาญจนพฤกษ์</v>
      </c>
      <c r="H843" t="s">
        <v>665</v>
      </c>
      <c r="J843" s="23">
        <v>600</v>
      </c>
    </row>
    <row r="844" spans="1:10">
      <c r="A844" s="2"/>
      <c r="C844" s="3"/>
    </row>
    <row r="845" spans="1:10">
      <c r="A845" s="2">
        <v>242281</v>
      </c>
      <c r="B845" s="7" t="s">
        <v>3</v>
      </c>
      <c r="C845" s="3" t="str">
        <f>VLOOKUP(B845,'Accounts chart'!$A:$B,2,FALSE)</f>
        <v>ธนาคารกสิกรไทย SA-040-1-56500-0</v>
      </c>
      <c r="E845" t="s">
        <v>848</v>
      </c>
      <c r="F845" t="s">
        <v>354</v>
      </c>
      <c r="G845" t="str">
        <f>VLOOKUP(F845,รายชื่อลูกบ้าน!$A:$B,2,FALSE)</f>
        <v>คุณสุรัตน์ พันธุ์แย้มมาลี</v>
      </c>
      <c r="H845" t="s">
        <v>665</v>
      </c>
      <c r="I845" s="23">
        <v>600</v>
      </c>
    </row>
    <row r="846" spans="1:10">
      <c r="A846" s="2">
        <v>242281</v>
      </c>
      <c r="B846" s="7" t="s">
        <v>3</v>
      </c>
      <c r="C846" s="3" t="str">
        <f>VLOOKUP(B846,'Accounts chart'!$A:$B,2,FALSE)</f>
        <v>ธนาคารกสิกรไทย SA-040-1-56500-0</v>
      </c>
      <c r="E846" t="s">
        <v>849</v>
      </c>
      <c r="F846" t="s">
        <v>118</v>
      </c>
      <c r="G846" t="str">
        <f>VLOOKUP(F846,รายชื่อลูกบ้าน!$A:$B,2,FALSE)</f>
        <v>คุณด้ามพรรณ ตั้งทองจิตร-คุณศราวุธ ฑพธาภิรมย์</v>
      </c>
      <c r="H846" t="s">
        <v>424</v>
      </c>
      <c r="I846" s="23">
        <v>600</v>
      </c>
    </row>
    <row r="847" spans="1:10">
      <c r="A847" s="2">
        <v>242281</v>
      </c>
      <c r="B847" s="7" t="s">
        <v>3</v>
      </c>
      <c r="C847" s="3" t="str">
        <f>VLOOKUP(B847,'Accounts chart'!$A:$B,2,FALSE)</f>
        <v>ธนาคารกสิกรไทย SA-040-1-56500-0</v>
      </c>
      <c r="E847" t="s">
        <v>850</v>
      </c>
      <c r="F847" t="s">
        <v>74</v>
      </c>
      <c r="G847" t="str">
        <f>VLOOKUP(F847,รายชื่อลูกบ้าน!$A:$B,2,FALSE)</f>
        <v>คุณคมกฤษณ์ เรืองเพ็ง</v>
      </c>
      <c r="H847" t="s">
        <v>835</v>
      </c>
      <c r="I847" s="23">
        <v>600</v>
      </c>
    </row>
    <row r="848" spans="1:10">
      <c r="A848" s="25">
        <v>242281</v>
      </c>
      <c r="B848" s="26" t="s">
        <v>3</v>
      </c>
      <c r="C848" s="27" t="str">
        <f>VLOOKUP(B848,'Accounts chart'!$A:$B,2,FALSE)</f>
        <v>ธนาคารกสิกรไทย SA-040-1-56500-0</v>
      </c>
      <c r="D848" s="4"/>
      <c r="E848" s="4" t="s">
        <v>851</v>
      </c>
      <c r="F848" s="4" t="s">
        <v>834</v>
      </c>
      <c r="G848" s="4" t="e">
        <f>VLOOKUP(F848,รายชื่อลูกบ้าน!$A:$B,2,FALSE)</f>
        <v>#N/A</v>
      </c>
      <c r="H848" s="4" t="s">
        <v>834</v>
      </c>
      <c r="I848" s="28">
        <v>600</v>
      </c>
      <c r="J848" s="28"/>
    </row>
    <row r="849" spans="1:10">
      <c r="A849" s="2">
        <v>242281</v>
      </c>
      <c r="B849" s="7" t="s">
        <v>34</v>
      </c>
      <c r="C849" s="3" t="str">
        <f>VLOOKUP(B849,'Accounts chart'!$A:$B,2,FALSE)</f>
        <v>รายรับค่าส่วนกลาง</v>
      </c>
      <c r="E849" t="s">
        <v>848</v>
      </c>
      <c r="F849" t="s">
        <v>354</v>
      </c>
      <c r="G849" t="s">
        <v>355</v>
      </c>
      <c r="H849" t="s">
        <v>665</v>
      </c>
      <c r="I849" s="20"/>
      <c r="J849" s="20">
        <v>600</v>
      </c>
    </row>
    <row r="850" spans="1:10">
      <c r="A850" s="2">
        <v>242281</v>
      </c>
      <c r="B850" s="7" t="s">
        <v>34</v>
      </c>
      <c r="C850" s="3" t="str">
        <f>VLOOKUP(B850,'Accounts chart'!$A:$B,2,FALSE)</f>
        <v>รายรับค่าส่วนกลาง</v>
      </c>
      <c r="E850" t="s">
        <v>849</v>
      </c>
      <c r="F850" t="s">
        <v>118</v>
      </c>
      <c r="G850" t="s">
        <v>90</v>
      </c>
      <c r="H850" t="s">
        <v>424</v>
      </c>
      <c r="I850" s="20"/>
      <c r="J850" s="20">
        <v>600</v>
      </c>
    </row>
    <row r="851" spans="1:10">
      <c r="A851" s="2">
        <v>242281</v>
      </c>
      <c r="B851" s="7" t="s">
        <v>34</v>
      </c>
      <c r="C851" s="3" t="str">
        <f>VLOOKUP(B851,'Accounts chart'!$A:$B,2,FALSE)</f>
        <v>รายรับค่าส่วนกลาง</v>
      </c>
      <c r="E851" t="s">
        <v>850</v>
      </c>
      <c r="F851" t="s">
        <v>74</v>
      </c>
      <c r="G851" t="s">
        <v>75</v>
      </c>
      <c r="H851" t="s">
        <v>835</v>
      </c>
      <c r="I851" s="20"/>
      <c r="J851" s="20">
        <v>600</v>
      </c>
    </row>
    <row r="852" spans="1:10">
      <c r="A852" s="25">
        <v>242281</v>
      </c>
      <c r="B852" s="26" t="s">
        <v>26</v>
      </c>
      <c r="C852" s="27" t="str">
        <f>VLOOKUP(B852,'Accounts chart'!$A:$B,2,FALSE)</f>
        <v>รายได้ค่าส่วนกลางไม่ทราบชือ</v>
      </c>
      <c r="D852" s="4"/>
      <c r="E852" s="4" t="s">
        <v>851</v>
      </c>
      <c r="F852" s="4" t="s">
        <v>834</v>
      </c>
      <c r="G852" s="4" t="e">
        <v>#N/A</v>
      </c>
      <c r="H852" s="4" t="s">
        <v>834</v>
      </c>
      <c r="I852" s="28"/>
      <c r="J852" s="28">
        <v>600</v>
      </c>
    </row>
    <row r="853" spans="1:10">
      <c r="A853" s="2"/>
      <c r="C853" s="3"/>
      <c r="I853" s="20"/>
      <c r="J853" s="20"/>
    </row>
    <row r="854" spans="1:10">
      <c r="A854" s="2">
        <v>242282</v>
      </c>
      <c r="B854" s="7" t="s">
        <v>3</v>
      </c>
      <c r="C854" s="3" t="str">
        <f>VLOOKUP(B854,'Accounts chart'!$A:$B,2,FALSE)</f>
        <v>ธนาคารกสิกรไทย SA-040-1-56500-0</v>
      </c>
      <c r="E854" t="s">
        <v>852</v>
      </c>
      <c r="F854" t="s">
        <v>121</v>
      </c>
      <c r="G854" t="str">
        <f>VLOOKUP(F854,รายชื่อลูกบ้าน!$A:$B,2,FALSE)</f>
        <v>คุณสถิตย์ ปาระพิมพ์</v>
      </c>
      <c r="H854" t="s">
        <v>665</v>
      </c>
      <c r="I854" s="23">
        <v>600</v>
      </c>
    </row>
    <row r="855" spans="1:10">
      <c r="A855" s="2">
        <v>242282</v>
      </c>
      <c r="B855" s="7" t="s">
        <v>3</v>
      </c>
      <c r="C855" s="3" t="str">
        <f>VLOOKUP(B855,'Accounts chart'!$A:$B,2,FALSE)</f>
        <v>ธนาคารกสิกรไทย SA-040-1-56500-0</v>
      </c>
      <c r="E855" t="s">
        <v>853</v>
      </c>
      <c r="F855" t="s">
        <v>161</v>
      </c>
      <c r="G855" t="str">
        <f>VLOOKUP(F855,รายชื่อลูกบ้าน!$A:$B,2,FALSE)</f>
        <v>คุณพงษ์พัฒนา มาบุญ</v>
      </c>
      <c r="H855" t="s">
        <v>665</v>
      </c>
      <c r="I855" s="23">
        <v>600</v>
      </c>
    </row>
    <row r="856" spans="1:10">
      <c r="A856" s="2">
        <v>242282</v>
      </c>
      <c r="B856" s="7" t="s">
        <v>34</v>
      </c>
      <c r="C856" s="3" t="str">
        <f>VLOOKUP(B856,'Accounts chart'!$A:$B,2,FALSE)</f>
        <v>รายรับค่าส่วนกลาง</v>
      </c>
      <c r="E856" t="s">
        <v>852</v>
      </c>
      <c r="F856" t="s">
        <v>121</v>
      </c>
      <c r="G856" t="str">
        <f>VLOOKUP(F856,รายชื่อลูกบ้าน!$A:$B,2,FALSE)</f>
        <v>คุณสถิตย์ ปาระพิมพ์</v>
      </c>
      <c r="H856" t="s">
        <v>665</v>
      </c>
      <c r="J856" s="23">
        <v>600</v>
      </c>
    </row>
    <row r="857" spans="1:10">
      <c r="A857" s="2">
        <v>242282</v>
      </c>
      <c r="B857" s="7" t="s">
        <v>34</v>
      </c>
      <c r="C857" s="3" t="str">
        <f>VLOOKUP(B857,'Accounts chart'!$A:$B,2,FALSE)</f>
        <v>รายรับค่าส่วนกลาง</v>
      </c>
      <c r="E857" t="s">
        <v>853</v>
      </c>
      <c r="F857" t="s">
        <v>161</v>
      </c>
      <c r="G857" t="str">
        <f>VLOOKUP(F857,รายชื่อลูกบ้าน!$A:$B,2,FALSE)</f>
        <v>คุณพงษ์พัฒนา มาบุญ</v>
      </c>
      <c r="H857" t="s">
        <v>665</v>
      </c>
      <c r="J857" s="23">
        <v>600</v>
      </c>
    </row>
    <row r="858" spans="1:10">
      <c r="A858" s="2"/>
      <c r="C858" s="3"/>
    </row>
    <row r="859" spans="1:10">
      <c r="A859" s="2">
        <v>242283</v>
      </c>
      <c r="B859" s="7" t="s">
        <v>3</v>
      </c>
      <c r="C859" s="3" t="str">
        <f>VLOOKUP(B859,'Accounts chart'!$A:$B,2,FALSE)</f>
        <v>ธนาคารกสิกรไทย SA-040-1-56500-0</v>
      </c>
      <c r="E859" t="s">
        <v>854</v>
      </c>
      <c r="F859" t="s">
        <v>311</v>
      </c>
      <c r="G859" t="str">
        <f>VLOOKUP(F859,รายชื่อลูกบ้าน!$A:$B,2,FALSE)</f>
        <v>คุณปิยณัฐ ปัญญาสวัสดิ์</v>
      </c>
      <c r="H859" t="s">
        <v>835</v>
      </c>
      <c r="I859" s="23">
        <v>600</v>
      </c>
    </row>
    <row r="860" spans="1:10">
      <c r="A860" s="2">
        <v>242283</v>
      </c>
      <c r="B860" s="7" t="s">
        <v>3</v>
      </c>
      <c r="C860" s="3" t="str">
        <f>VLOOKUP(B860,'Accounts chart'!$A:$B,2,FALSE)</f>
        <v>ธนาคารกสิกรไทย SA-040-1-56500-0</v>
      </c>
      <c r="E860" t="s">
        <v>855</v>
      </c>
      <c r="F860" t="s">
        <v>227</v>
      </c>
      <c r="G860" t="str">
        <f>VLOOKUP(F860,รายชื่อลูกบ้าน!$A:$B,2,FALSE)</f>
        <v>คุณเกียรติชัย การรุ่งเรือง-คุณศศิธร เศียรศิริบัณฑิต</v>
      </c>
      <c r="H860" t="s">
        <v>665</v>
      </c>
      <c r="I860" s="23">
        <v>600</v>
      </c>
    </row>
    <row r="861" spans="1:10">
      <c r="A861" s="2">
        <v>242283</v>
      </c>
      <c r="B861" s="7" t="s">
        <v>3</v>
      </c>
      <c r="C861" s="3" t="str">
        <f>VLOOKUP(B861,'Accounts chart'!$A:$B,2,FALSE)</f>
        <v>ธนาคารกสิกรไทย SA-040-1-56500-0</v>
      </c>
      <c r="E861" t="s">
        <v>856</v>
      </c>
      <c r="F861" t="s">
        <v>255</v>
      </c>
      <c r="G861" t="str">
        <f>VLOOKUP(F861,รายชื่อลูกบ้าน!$A:$B,2,FALSE)</f>
        <v>คุณไชยยันต์ แก้วบุญศรี</v>
      </c>
      <c r="H861" t="s">
        <v>835</v>
      </c>
      <c r="I861" s="23">
        <v>600</v>
      </c>
    </row>
    <row r="862" spans="1:10">
      <c r="A862" s="2">
        <v>242283</v>
      </c>
      <c r="B862" s="7" t="s">
        <v>34</v>
      </c>
      <c r="C862" s="3" t="str">
        <f>VLOOKUP(B862,'Accounts chart'!$A:$B,2,FALSE)</f>
        <v>รายรับค่าส่วนกลาง</v>
      </c>
      <c r="E862" t="s">
        <v>854</v>
      </c>
      <c r="F862" t="s">
        <v>311</v>
      </c>
      <c r="G862" t="str">
        <f>VLOOKUP(F862,รายชื่อลูกบ้าน!$A:$B,2,FALSE)</f>
        <v>คุณปิยณัฐ ปัญญาสวัสดิ์</v>
      </c>
      <c r="H862" t="s">
        <v>835</v>
      </c>
      <c r="J862" s="23">
        <v>600</v>
      </c>
    </row>
    <row r="863" spans="1:10">
      <c r="A863" s="2">
        <v>242283</v>
      </c>
      <c r="B863" s="7" t="s">
        <v>34</v>
      </c>
      <c r="C863" s="3" t="str">
        <f>VLOOKUP(B863,'Accounts chart'!$A:$B,2,FALSE)</f>
        <v>รายรับค่าส่วนกลาง</v>
      </c>
      <c r="E863" t="s">
        <v>855</v>
      </c>
      <c r="F863" t="s">
        <v>227</v>
      </c>
      <c r="G863" t="str">
        <f>VLOOKUP(F863,รายชื่อลูกบ้าน!$A:$B,2,FALSE)</f>
        <v>คุณเกียรติชัย การรุ่งเรือง-คุณศศิธร เศียรศิริบัณฑิต</v>
      </c>
      <c r="H863" t="s">
        <v>665</v>
      </c>
      <c r="J863" s="23">
        <v>600</v>
      </c>
    </row>
    <row r="864" spans="1:10">
      <c r="A864" s="2">
        <v>242283</v>
      </c>
      <c r="B864" s="7" t="s">
        <v>34</v>
      </c>
      <c r="C864" s="3" t="str">
        <f>VLOOKUP(B864,'Accounts chart'!$A:$B,2,FALSE)</f>
        <v>รายรับค่าส่วนกลาง</v>
      </c>
      <c r="E864" t="s">
        <v>856</v>
      </c>
      <c r="F864" t="s">
        <v>255</v>
      </c>
      <c r="G864" t="str">
        <f>VLOOKUP(F864,รายชื่อลูกบ้าน!$A:$B,2,FALSE)</f>
        <v>คุณไชยยันต์ แก้วบุญศรี</v>
      </c>
      <c r="H864" t="s">
        <v>835</v>
      </c>
      <c r="J864" s="23">
        <v>600</v>
      </c>
    </row>
    <row r="865" spans="1:10">
      <c r="A865" s="2"/>
      <c r="C865" s="3"/>
    </row>
    <row r="866" spans="1:10">
      <c r="A866" s="2">
        <v>242284</v>
      </c>
      <c r="B866" s="7" t="s">
        <v>3</v>
      </c>
      <c r="C866" s="3" t="str">
        <f>VLOOKUP(B866,'Accounts chart'!$A:$B,2,FALSE)</f>
        <v>ธนาคารกสิกรไทย SA-040-1-56500-0</v>
      </c>
      <c r="E866" t="s">
        <v>857</v>
      </c>
      <c r="F866" t="s">
        <v>360</v>
      </c>
      <c r="G866" t="str">
        <f>VLOOKUP(F866,รายชื่อลูกบ้าน!$A:$B,2,FALSE)</f>
        <v>คุณวิษา มีมาก</v>
      </c>
      <c r="H866" t="s">
        <v>835</v>
      </c>
      <c r="I866" s="23">
        <v>600</v>
      </c>
    </row>
    <row r="867" spans="1:10">
      <c r="A867" s="2">
        <v>242284</v>
      </c>
      <c r="B867" s="7" t="s">
        <v>34</v>
      </c>
      <c r="C867" s="3" t="str">
        <f>VLOOKUP(B867,'Accounts chart'!$A:$B,2,FALSE)</f>
        <v>รายรับค่าส่วนกลาง</v>
      </c>
      <c r="E867" t="s">
        <v>857</v>
      </c>
      <c r="F867" t="s">
        <v>360</v>
      </c>
      <c r="G867" t="str">
        <f>VLOOKUP(F867,รายชื่อลูกบ้าน!$A:$B,2,FALSE)</f>
        <v>คุณวิษา มีมาก</v>
      </c>
      <c r="H867" t="s">
        <v>835</v>
      </c>
      <c r="J867" s="23">
        <v>600</v>
      </c>
    </row>
    <row r="868" spans="1:10">
      <c r="A868" s="2"/>
      <c r="C868" s="3"/>
    </row>
    <row r="869" spans="1:10">
      <c r="A869" s="2">
        <v>242284</v>
      </c>
      <c r="B869" s="7" t="s">
        <v>42</v>
      </c>
      <c r="C869" s="3" t="str">
        <f>VLOOKUP(B869,'Accounts chart'!$A:$B,2,FALSE)</f>
        <v>ค่าอะไหล่ซ่อมบำรุงและค่าซ่อมแซมอื่นๆ</v>
      </c>
      <c r="D869" t="s">
        <v>968</v>
      </c>
      <c r="H869" t="s">
        <v>975</v>
      </c>
      <c r="I869" s="23">
        <v>9500</v>
      </c>
    </row>
    <row r="870" spans="1:10">
      <c r="A870" s="2">
        <v>242284</v>
      </c>
      <c r="B870" s="7" t="s">
        <v>3</v>
      </c>
      <c r="C870" s="3" t="str">
        <f>VLOOKUP(B870,'Accounts chart'!$A:$B,2,FALSE)</f>
        <v>ธนาคารกสิกรไทย SA-040-1-56500-0</v>
      </c>
      <c r="D870" t="s">
        <v>968</v>
      </c>
      <c r="H870" t="s">
        <v>975</v>
      </c>
      <c r="I870" s="23">
        <v>500</v>
      </c>
    </row>
    <row r="871" spans="1:10">
      <c r="A871" s="2">
        <v>242284</v>
      </c>
      <c r="B871" s="7" t="s">
        <v>8</v>
      </c>
      <c r="C871" s="3" t="str">
        <f>VLOOKUP(B871,'Accounts chart'!$A:$B,2,FALSE)</f>
        <v>เงินทดลองจ่าย (สำรองจ่าย)</v>
      </c>
      <c r="D871" t="s">
        <v>968</v>
      </c>
      <c r="H871" t="s">
        <v>975</v>
      </c>
      <c r="J871" s="23">
        <v>10000</v>
      </c>
    </row>
    <row r="872" spans="1:10">
      <c r="A872" s="2"/>
      <c r="C872" s="3"/>
    </row>
    <row r="873" spans="1:10">
      <c r="A873" s="2"/>
      <c r="C873" s="3"/>
    </row>
    <row r="874" spans="1:10">
      <c r="A874" s="2">
        <v>242285</v>
      </c>
      <c r="B874" s="7" t="s">
        <v>3</v>
      </c>
      <c r="C874" s="3" t="str">
        <f>VLOOKUP(B874,'Accounts chart'!$A:$B,2,FALSE)</f>
        <v>ธนาคารกสิกรไทย SA-040-1-56500-0</v>
      </c>
      <c r="E874" t="s">
        <v>858</v>
      </c>
      <c r="F874" t="s">
        <v>132</v>
      </c>
      <c r="G874" t="str">
        <f>VLOOKUP(F874,รายชื่อลูกบ้าน!$A:$B,2,FALSE)</f>
        <v>คุณสมหมาย เงินสมบัติ</v>
      </c>
      <c r="H874" t="s">
        <v>665</v>
      </c>
      <c r="I874" s="23">
        <v>600</v>
      </c>
    </row>
    <row r="875" spans="1:10">
      <c r="A875" s="2">
        <v>242285</v>
      </c>
      <c r="B875" s="7" t="s">
        <v>34</v>
      </c>
      <c r="C875" s="3" t="str">
        <f>VLOOKUP(B875,'Accounts chart'!$A:$B,2,FALSE)</f>
        <v>รายรับค่าส่วนกลาง</v>
      </c>
      <c r="E875" t="s">
        <v>858</v>
      </c>
      <c r="F875" t="s">
        <v>132</v>
      </c>
      <c r="G875" t="str">
        <f>VLOOKUP(F875,รายชื่อลูกบ้าน!$A:$B,2,FALSE)</f>
        <v>คุณสมหมาย เงินสมบัติ</v>
      </c>
      <c r="H875" t="s">
        <v>665</v>
      </c>
      <c r="J875" s="23">
        <v>600</v>
      </c>
    </row>
    <row r="876" spans="1:10">
      <c r="A876" s="2"/>
      <c r="C876" s="3"/>
    </row>
    <row r="877" spans="1:10">
      <c r="A877" s="2">
        <v>242286</v>
      </c>
      <c r="B877" s="7" t="s">
        <v>3</v>
      </c>
      <c r="C877" s="3" t="str">
        <f>VLOOKUP(B877,'Accounts chart'!$A:$B,2,FALSE)</f>
        <v>ธนาคารกสิกรไทย SA-040-1-56500-0</v>
      </c>
      <c r="E877" t="s">
        <v>859</v>
      </c>
      <c r="F877" t="s">
        <v>256</v>
      </c>
      <c r="G877" t="str">
        <f>VLOOKUP(F877,รายชื่อลูกบ้าน!$A:$B,2,FALSE)</f>
        <v>คุณพิชชา ขำสุวรรณ</v>
      </c>
      <c r="H877" t="s">
        <v>837</v>
      </c>
      <c r="I877" s="23">
        <v>1200</v>
      </c>
    </row>
    <row r="878" spans="1:10">
      <c r="A878" s="2">
        <v>242286</v>
      </c>
      <c r="B878" s="7" t="s">
        <v>3</v>
      </c>
      <c r="C878" s="3" t="str">
        <f>VLOOKUP(B878,'Accounts chart'!$A:$B,2,FALSE)</f>
        <v>ธนาคารกสิกรไทย SA-040-1-56500-0</v>
      </c>
      <c r="E878" t="s">
        <v>860</v>
      </c>
      <c r="F878" t="s">
        <v>107</v>
      </c>
      <c r="G878" t="str">
        <f>VLOOKUP(F878,รายชื่อลูกบ้าน!$A:$B,2,FALSE)</f>
        <v>คุณอนันต์ แจ่มจันทร์</v>
      </c>
      <c r="H878" t="s">
        <v>835</v>
      </c>
      <c r="I878" s="23">
        <v>600</v>
      </c>
    </row>
    <row r="879" spans="1:10">
      <c r="A879" s="2">
        <v>242286</v>
      </c>
      <c r="B879" s="7" t="s">
        <v>34</v>
      </c>
      <c r="C879" s="3" t="str">
        <f>VLOOKUP(B879,'Accounts chart'!$A:$B,2,FALSE)</f>
        <v>รายรับค่าส่วนกลาง</v>
      </c>
      <c r="E879" t="s">
        <v>859</v>
      </c>
      <c r="F879" t="s">
        <v>256</v>
      </c>
      <c r="G879" t="str">
        <f>VLOOKUP(F879,รายชื่อลูกบ้าน!$A:$B,2,FALSE)</f>
        <v>คุณพิชชา ขำสุวรรณ</v>
      </c>
      <c r="H879" t="s">
        <v>837</v>
      </c>
      <c r="J879" s="23">
        <v>1200</v>
      </c>
    </row>
    <row r="880" spans="1:10">
      <c r="A880" s="2">
        <v>242286</v>
      </c>
      <c r="B880" s="7" t="s">
        <v>34</v>
      </c>
      <c r="C880" s="3" t="str">
        <f>VLOOKUP(B880,'Accounts chart'!$A:$B,2,FALSE)</f>
        <v>รายรับค่าส่วนกลาง</v>
      </c>
      <c r="E880" t="s">
        <v>860</v>
      </c>
      <c r="F880" t="s">
        <v>107</v>
      </c>
      <c r="G880" t="str">
        <f>VLOOKUP(F880,รายชื่อลูกบ้าน!$A:$B,2,FALSE)</f>
        <v>คุณอนันต์ แจ่มจันทร์</v>
      </c>
      <c r="H880" t="s">
        <v>835</v>
      </c>
      <c r="J880" s="23">
        <v>600</v>
      </c>
    </row>
    <row r="881" spans="1:10">
      <c r="A881" s="2"/>
      <c r="C881" s="3"/>
    </row>
    <row r="882" spans="1:10">
      <c r="A882" s="2">
        <v>242288</v>
      </c>
      <c r="B882" s="7" t="s">
        <v>42</v>
      </c>
      <c r="C882" s="3" t="str">
        <f>VLOOKUP(B882,'Accounts chart'!$A:$B,2,FALSE)</f>
        <v>ค่าอะไหล่ซ่อมบำรุงและค่าซ่อมแซมอื่นๆ</v>
      </c>
      <c r="D882" t="s">
        <v>948</v>
      </c>
      <c r="G882" t="s">
        <v>775</v>
      </c>
      <c r="H882" t="s">
        <v>954</v>
      </c>
      <c r="I882" s="23">
        <v>5162.3</v>
      </c>
    </row>
    <row r="883" spans="1:10">
      <c r="A883" s="2">
        <v>242288</v>
      </c>
      <c r="B883" s="7" t="s">
        <v>2</v>
      </c>
      <c r="C883" s="3" t="str">
        <f>VLOOKUP(B883,'Accounts chart'!$A:$B,2,FALSE)</f>
        <v>ธนาคารกสิกรไทย CA-040-1-57563-4</v>
      </c>
      <c r="D883" t="s">
        <v>948</v>
      </c>
      <c r="G883" t="s">
        <v>775</v>
      </c>
      <c r="H883" t="s">
        <v>954</v>
      </c>
      <c r="J883" s="23">
        <v>5162.3</v>
      </c>
    </row>
    <row r="884" spans="1:10">
      <c r="A884" s="2"/>
      <c r="C884" s="3"/>
    </row>
    <row r="885" spans="1:10">
      <c r="A885" s="2">
        <v>242288</v>
      </c>
      <c r="B885" s="7" t="s">
        <v>20</v>
      </c>
      <c r="C885" s="3" t="str">
        <f>VLOOKUP(B885,'Accounts chart'!$A:$B,2,FALSE)</f>
        <v>ค่าไฟฟ้าค้างจ่าย</v>
      </c>
      <c r="D885" t="s">
        <v>949</v>
      </c>
      <c r="G885" t="s">
        <v>777</v>
      </c>
      <c r="H885" t="s">
        <v>955</v>
      </c>
      <c r="I885" s="23">
        <v>5777.06</v>
      </c>
    </row>
    <row r="886" spans="1:10">
      <c r="A886" s="2">
        <v>242288</v>
      </c>
      <c r="B886" s="7" t="s">
        <v>2</v>
      </c>
      <c r="C886" s="3" t="str">
        <f>VLOOKUP(B886,'Accounts chart'!$A:$B,2,FALSE)</f>
        <v>ธนาคารกสิกรไทย CA-040-1-57563-4</v>
      </c>
      <c r="D886" t="s">
        <v>949</v>
      </c>
      <c r="G886" t="s">
        <v>777</v>
      </c>
      <c r="H886" t="s">
        <v>955</v>
      </c>
      <c r="J886" s="23">
        <v>5777.06</v>
      </c>
    </row>
    <row r="887" spans="1:10">
      <c r="A887" s="2"/>
      <c r="C887" s="3"/>
    </row>
    <row r="888" spans="1:10">
      <c r="A888" s="2">
        <v>242288</v>
      </c>
      <c r="B888" s="7" t="s">
        <v>18</v>
      </c>
      <c r="C888" s="3" t="str">
        <f>VLOOKUP(B888,'Accounts chart'!$A:$B,2,FALSE)</f>
        <v>ค่ารักษาความปลอดภัยค้างจ่าย</v>
      </c>
      <c r="D888" t="s">
        <v>950</v>
      </c>
      <c r="G888" t="s">
        <v>377</v>
      </c>
      <c r="H888" t="s">
        <v>956</v>
      </c>
      <c r="I888" s="23">
        <v>38814.32</v>
      </c>
    </row>
    <row r="889" spans="1:10">
      <c r="A889" s="2">
        <v>242288</v>
      </c>
      <c r="B889" s="7" t="s">
        <v>2</v>
      </c>
      <c r="C889" s="3" t="str">
        <f>VLOOKUP(B889,'Accounts chart'!$A:$B,2,FALSE)</f>
        <v>ธนาคารกสิกรไทย CA-040-1-57563-4</v>
      </c>
      <c r="D889" t="s">
        <v>950</v>
      </c>
      <c r="G889" t="s">
        <v>377</v>
      </c>
      <c r="H889" t="s">
        <v>956</v>
      </c>
      <c r="J889" s="23">
        <v>38814.32</v>
      </c>
    </row>
    <row r="890" spans="1:10">
      <c r="A890" s="2"/>
      <c r="C890" s="3"/>
    </row>
    <row r="891" spans="1:10">
      <c r="A891" s="2">
        <v>242288</v>
      </c>
      <c r="B891" s="7" t="s">
        <v>14</v>
      </c>
      <c r="C891" s="3" t="str">
        <f>VLOOKUP(B891,'Accounts chart'!$A:$B,2,FALSE)</f>
        <v>ค่าเก็บขยะค้างจ่าย</v>
      </c>
      <c r="D891" t="s">
        <v>951</v>
      </c>
      <c r="G891" t="s">
        <v>943</v>
      </c>
      <c r="H891" t="s">
        <v>957</v>
      </c>
      <c r="I891" s="23">
        <v>3000</v>
      </c>
    </row>
    <row r="892" spans="1:10">
      <c r="A892" s="2">
        <v>242288</v>
      </c>
      <c r="B892" s="7" t="s">
        <v>2</v>
      </c>
      <c r="C892" s="3" t="str">
        <f>VLOOKUP(B892,'Accounts chart'!$A:$B,2,FALSE)</f>
        <v>ธนาคารกสิกรไทย CA-040-1-57563-4</v>
      </c>
      <c r="D892" t="s">
        <v>951</v>
      </c>
      <c r="G892" t="s">
        <v>943</v>
      </c>
      <c r="H892" t="s">
        <v>957</v>
      </c>
      <c r="J892" s="23">
        <v>3000</v>
      </c>
    </row>
    <row r="893" spans="1:10">
      <c r="A893" s="2"/>
      <c r="C893" s="3"/>
    </row>
    <row r="894" spans="1:10">
      <c r="A894" s="2">
        <v>242288</v>
      </c>
      <c r="B894" s="7" t="s">
        <v>22</v>
      </c>
      <c r="C894" s="3" t="str">
        <f>VLOOKUP(B894,'Accounts chart'!$A:$B,2,FALSE)</f>
        <v>ค่าดูแลส่วนกลางค้างจ่าย</v>
      </c>
      <c r="D894" t="s">
        <v>952</v>
      </c>
      <c r="G894" t="s">
        <v>771</v>
      </c>
      <c r="H894" t="s">
        <v>958</v>
      </c>
      <c r="I894" s="23">
        <v>15000</v>
      </c>
    </row>
    <row r="895" spans="1:10">
      <c r="A895" s="2">
        <v>242288</v>
      </c>
      <c r="B895" s="7" t="s">
        <v>3</v>
      </c>
      <c r="C895" s="3" t="str">
        <f>VLOOKUP(B895,'Accounts chart'!$A:$B,2,FALSE)</f>
        <v>ธนาคารกสิกรไทย SA-040-1-56500-0</v>
      </c>
      <c r="D895" t="s">
        <v>952</v>
      </c>
      <c r="G895" t="s">
        <v>771</v>
      </c>
      <c r="H895" t="s">
        <v>958</v>
      </c>
      <c r="J895" s="23">
        <v>15000</v>
      </c>
    </row>
    <row r="896" spans="1:10">
      <c r="A896" s="2"/>
      <c r="C896" s="3"/>
    </row>
    <row r="897" spans="1:10">
      <c r="A897" s="2">
        <v>242288</v>
      </c>
      <c r="B897" s="7" t="s">
        <v>2</v>
      </c>
      <c r="C897" s="3" t="str">
        <f>VLOOKUP(B897,'Accounts chart'!$A:$B,2,FALSE)</f>
        <v>ธนาคารกสิกรไทย CA-040-1-57563-4</v>
      </c>
      <c r="D897" t="s">
        <v>953</v>
      </c>
      <c r="H897" t="s">
        <v>788</v>
      </c>
      <c r="I897" s="23">
        <v>100000</v>
      </c>
    </row>
    <row r="898" spans="1:10">
      <c r="A898" s="2">
        <v>242288</v>
      </c>
      <c r="B898" s="7" t="s">
        <v>3</v>
      </c>
      <c r="C898" s="3" t="str">
        <f>VLOOKUP(B898,'Accounts chart'!$A:$B,2,FALSE)</f>
        <v>ธนาคารกสิกรไทย SA-040-1-56500-0</v>
      </c>
      <c r="D898" t="s">
        <v>953</v>
      </c>
      <c r="H898" t="s">
        <v>788</v>
      </c>
      <c r="J898" s="23">
        <v>100000</v>
      </c>
    </row>
    <row r="899" spans="1:10">
      <c r="A899" s="2"/>
      <c r="C899" s="3"/>
    </row>
    <row r="900" spans="1:10">
      <c r="A900" s="2">
        <v>242290</v>
      </c>
      <c r="B900" s="7" t="s">
        <v>3</v>
      </c>
      <c r="C900" s="3" t="str">
        <f>VLOOKUP(B900,'Accounts chart'!$A:$B,2,FALSE)</f>
        <v>ธนาคารกสิกรไทย SA-040-1-56500-0</v>
      </c>
      <c r="E900" t="s">
        <v>861</v>
      </c>
      <c r="F900" t="s">
        <v>279</v>
      </c>
      <c r="G900" t="str">
        <f>VLOOKUP(F900,รายชื่อลูกบ้าน!$A:$B,2,FALSE)</f>
        <v>คุณเสกสิทธิ์ คำธานี</v>
      </c>
      <c r="H900" t="s">
        <v>665</v>
      </c>
      <c r="I900" s="23">
        <v>600</v>
      </c>
    </row>
    <row r="901" spans="1:10">
      <c r="A901" s="2">
        <v>242290</v>
      </c>
      <c r="B901" s="7" t="s">
        <v>34</v>
      </c>
      <c r="C901" s="3" t="str">
        <f>VLOOKUP(B901,'Accounts chart'!$A:$B,2,FALSE)</f>
        <v>รายรับค่าส่วนกลาง</v>
      </c>
      <c r="E901" t="s">
        <v>861</v>
      </c>
      <c r="F901" t="s">
        <v>279</v>
      </c>
      <c r="G901" t="str">
        <f>VLOOKUP(F901,รายชื่อลูกบ้าน!$A:$B,2,FALSE)</f>
        <v>คุณเสกสิทธิ์ คำธานี</v>
      </c>
      <c r="H901" t="s">
        <v>665</v>
      </c>
      <c r="J901" s="23">
        <v>600</v>
      </c>
    </row>
    <row r="902" spans="1:10">
      <c r="A902" s="2"/>
      <c r="C902" s="3"/>
    </row>
    <row r="903" spans="1:10">
      <c r="A903" s="2">
        <v>242292</v>
      </c>
      <c r="B903" s="7" t="s">
        <v>3</v>
      </c>
      <c r="C903" s="3" t="str">
        <f>VLOOKUP(B903,'Accounts chart'!$A:$B,2,FALSE)</f>
        <v>ธนาคารกสิกรไทย SA-040-1-56500-0</v>
      </c>
      <c r="E903" t="s">
        <v>862</v>
      </c>
      <c r="F903" t="s">
        <v>159</v>
      </c>
      <c r="G903" t="str">
        <f>VLOOKUP(F903,รายชื่อลูกบ้าน!$A:$B,2,FALSE)</f>
        <v>คุณอดุลย์ แก้วอำไพ</v>
      </c>
      <c r="H903" t="s">
        <v>835</v>
      </c>
      <c r="I903" s="23">
        <v>600</v>
      </c>
    </row>
    <row r="904" spans="1:10">
      <c r="A904" s="2">
        <v>242292</v>
      </c>
      <c r="B904" s="7" t="s">
        <v>34</v>
      </c>
      <c r="C904" s="3" t="str">
        <f>VLOOKUP(B904,'Accounts chart'!$A:$B,2,FALSE)</f>
        <v>รายรับค่าส่วนกลาง</v>
      </c>
      <c r="E904" t="s">
        <v>862</v>
      </c>
      <c r="F904" t="s">
        <v>159</v>
      </c>
      <c r="G904" t="str">
        <f>VLOOKUP(F904,รายชื่อลูกบ้าน!$A:$B,2,FALSE)</f>
        <v>คุณอดุลย์ แก้วอำไพ</v>
      </c>
      <c r="H904" t="s">
        <v>835</v>
      </c>
      <c r="J904" s="23">
        <v>600</v>
      </c>
    </row>
    <row r="905" spans="1:10">
      <c r="A905" s="2"/>
      <c r="C905" s="3"/>
    </row>
    <row r="906" spans="1:10">
      <c r="A906" s="2">
        <v>242295</v>
      </c>
      <c r="B906" s="7" t="s">
        <v>3</v>
      </c>
      <c r="C906" s="3" t="str">
        <f>VLOOKUP(B906,'Accounts chart'!$A:$B,2,FALSE)</f>
        <v>ธนาคารกสิกรไทย SA-040-1-56500-0</v>
      </c>
      <c r="E906" t="s">
        <v>863</v>
      </c>
      <c r="F906" t="s">
        <v>271</v>
      </c>
      <c r="G906" t="str">
        <f>VLOOKUP(F906,รายชื่อลูกบ้าน!$A:$B,2,FALSE)</f>
        <v>คุณรัสรินทร์ ปัญญาส่งสวัสดิ์</v>
      </c>
      <c r="H906" t="s">
        <v>900</v>
      </c>
      <c r="I906" s="23">
        <v>1800</v>
      </c>
    </row>
    <row r="907" spans="1:10">
      <c r="A907" s="2">
        <v>242295</v>
      </c>
      <c r="B907" s="7" t="s">
        <v>3</v>
      </c>
      <c r="C907" s="3" t="str">
        <f>VLOOKUP(B907,'Accounts chart'!$A:$B,2,FALSE)</f>
        <v>ธนาคารกสิกรไทย SA-040-1-56500-0</v>
      </c>
      <c r="E907" t="s">
        <v>864</v>
      </c>
      <c r="F907" t="s">
        <v>317</v>
      </c>
      <c r="G907" t="str">
        <f>VLOOKUP(F907,รายชื่อลูกบ้าน!$A:$B,2,FALSE)</f>
        <v>คุณจิระศักดิ์ จันทร์โท</v>
      </c>
      <c r="H907" t="s">
        <v>835</v>
      </c>
      <c r="I907" s="23">
        <v>600</v>
      </c>
    </row>
    <row r="908" spans="1:10">
      <c r="A908" s="2">
        <v>242295</v>
      </c>
      <c r="B908" s="7" t="s">
        <v>34</v>
      </c>
      <c r="C908" s="3" t="str">
        <f>VLOOKUP(B908,'Accounts chart'!$A:$B,2,FALSE)</f>
        <v>รายรับค่าส่วนกลาง</v>
      </c>
      <c r="E908" t="s">
        <v>863</v>
      </c>
      <c r="F908" t="s">
        <v>271</v>
      </c>
      <c r="G908" t="str">
        <f>VLOOKUP(F908,รายชื่อลูกบ้าน!$A:$B,2,FALSE)</f>
        <v>คุณรัสรินทร์ ปัญญาส่งสวัสดิ์</v>
      </c>
      <c r="H908" t="s">
        <v>900</v>
      </c>
      <c r="J908" s="23">
        <v>1800</v>
      </c>
    </row>
    <row r="909" spans="1:10">
      <c r="A909" s="2">
        <v>242295</v>
      </c>
      <c r="B909" s="7" t="s">
        <v>34</v>
      </c>
      <c r="C909" s="3" t="str">
        <f>VLOOKUP(B909,'Accounts chart'!$A:$B,2,FALSE)</f>
        <v>รายรับค่าส่วนกลาง</v>
      </c>
      <c r="E909" t="s">
        <v>864</v>
      </c>
      <c r="F909" t="s">
        <v>317</v>
      </c>
      <c r="G909" t="str">
        <f>VLOOKUP(F909,รายชื่อลูกบ้าน!$A:$B,2,FALSE)</f>
        <v>คุณจิระศักดิ์ จันทร์โท</v>
      </c>
      <c r="H909" t="s">
        <v>835</v>
      </c>
      <c r="J909" s="23">
        <v>600</v>
      </c>
    </row>
    <row r="910" spans="1:10">
      <c r="A910" s="2"/>
      <c r="C910" s="3"/>
    </row>
    <row r="911" spans="1:10">
      <c r="A911" s="2">
        <v>242296</v>
      </c>
      <c r="B911" s="7" t="s">
        <v>3</v>
      </c>
      <c r="C911" s="3" t="str">
        <f>VLOOKUP(B911,'Accounts chart'!$A:$B,2,FALSE)</f>
        <v>ธนาคารกสิกรไทย SA-040-1-56500-0</v>
      </c>
      <c r="E911" t="s">
        <v>865</v>
      </c>
      <c r="F911" t="s">
        <v>367</v>
      </c>
      <c r="G911" t="str">
        <f>VLOOKUP(F911,รายชื่อลูกบ้าน!$A:$B,2,FALSE)</f>
        <v>คุณเพ็ญศรี ศรีละ</v>
      </c>
      <c r="H911" t="s">
        <v>901</v>
      </c>
      <c r="I911" s="23">
        <v>3000</v>
      </c>
    </row>
    <row r="912" spans="1:10">
      <c r="A912" s="2">
        <v>242296</v>
      </c>
      <c r="B912" s="7" t="s">
        <v>34</v>
      </c>
      <c r="C912" s="3" t="str">
        <f>VLOOKUP(B912,'Accounts chart'!$A:$B,2,FALSE)</f>
        <v>รายรับค่าส่วนกลาง</v>
      </c>
      <c r="E912" t="s">
        <v>865</v>
      </c>
      <c r="F912" t="s">
        <v>367</v>
      </c>
      <c r="G912" t="str">
        <f>VLOOKUP(F912,รายชื่อลูกบ้าน!$A:$B,2,FALSE)</f>
        <v>คุณเพ็ญศรี ศรีละ</v>
      </c>
      <c r="H912" t="s">
        <v>901</v>
      </c>
      <c r="J912" s="23">
        <v>3000</v>
      </c>
    </row>
    <row r="913" spans="1:10">
      <c r="A913" s="2"/>
      <c r="C913" s="3"/>
    </row>
    <row r="914" spans="1:10">
      <c r="A914" s="2">
        <v>242301</v>
      </c>
      <c r="B914" s="7" t="s">
        <v>3</v>
      </c>
      <c r="C914" s="3" t="str">
        <f>VLOOKUP(B914,'Accounts chart'!$A:$B,2,FALSE)</f>
        <v>ธนาคารกสิกรไทย SA-040-1-56500-0</v>
      </c>
      <c r="E914" t="s">
        <v>866</v>
      </c>
      <c r="F914" t="s">
        <v>117</v>
      </c>
      <c r="G914" t="str">
        <f>VLOOKUP(F914,รายชื่อลูกบ้าน!$A:$B,2,FALSE)</f>
        <v>คุณธนัญกรณ์ ทาสระคู</v>
      </c>
      <c r="H914" t="s">
        <v>902</v>
      </c>
      <c r="I914" s="23">
        <v>1800</v>
      </c>
    </row>
    <row r="915" spans="1:10">
      <c r="A915" s="2">
        <v>242301</v>
      </c>
      <c r="B915" s="7" t="s">
        <v>3</v>
      </c>
      <c r="C915" s="3" t="str">
        <f>VLOOKUP(B915,'Accounts chart'!$A:$B,2,FALSE)</f>
        <v>ธนาคารกสิกรไทย SA-040-1-56500-0</v>
      </c>
      <c r="E915" t="s">
        <v>867</v>
      </c>
      <c r="F915" t="s">
        <v>141</v>
      </c>
      <c r="G915" t="str">
        <f>VLOOKUP(F915,รายชื่อลูกบ้าน!$A:$B,2,FALSE)</f>
        <v>คุณประวิทย์ จิตประสงค์</v>
      </c>
      <c r="H915" t="s">
        <v>383</v>
      </c>
      <c r="I915" s="23">
        <v>7200</v>
      </c>
    </row>
    <row r="916" spans="1:10">
      <c r="A916" s="25">
        <v>242301</v>
      </c>
      <c r="B916" s="26" t="s">
        <v>3</v>
      </c>
      <c r="C916" s="27" t="str">
        <f>VLOOKUP(B916,'Accounts chart'!$A:$B,2,FALSE)</f>
        <v>ธนาคารกสิกรไทย SA-040-1-56500-0</v>
      </c>
      <c r="D916" s="4"/>
      <c r="E916" s="4" t="s">
        <v>868</v>
      </c>
      <c r="F916" s="4" t="s">
        <v>834</v>
      </c>
      <c r="G916" s="4" t="e">
        <f>VLOOKUP(F916,รายชื่อลูกบ้าน!$A:$B,2,FALSE)</f>
        <v>#N/A</v>
      </c>
      <c r="H916" s="4" t="s">
        <v>834</v>
      </c>
      <c r="I916" s="28">
        <v>4200</v>
      </c>
      <c r="J916" s="28"/>
    </row>
    <row r="917" spans="1:10">
      <c r="A917" s="2">
        <v>242301</v>
      </c>
      <c r="B917" s="7" t="s">
        <v>3</v>
      </c>
      <c r="C917" s="3" t="str">
        <f>VLOOKUP(B917,'Accounts chart'!$A:$B,2,FALSE)</f>
        <v>ธนาคารกสิกรไทย SA-040-1-56500-0</v>
      </c>
      <c r="E917" t="s">
        <v>869</v>
      </c>
      <c r="F917" t="s">
        <v>241</v>
      </c>
      <c r="G917" t="str">
        <f>VLOOKUP(F917,รายชื่อลูกบ้าน!$A:$B,2,FALSE)</f>
        <v>คุณสุกิจ หมื่นยศ</v>
      </c>
      <c r="H917" t="s">
        <v>835</v>
      </c>
      <c r="I917" s="23">
        <v>600</v>
      </c>
    </row>
    <row r="918" spans="1:10">
      <c r="A918" s="2">
        <v>242301</v>
      </c>
      <c r="B918" s="7" t="s">
        <v>34</v>
      </c>
      <c r="C918" s="3" t="str">
        <f>VLOOKUP(B918,'Accounts chart'!$A:$B,2,FALSE)</f>
        <v>รายรับค่าส่วนกลาง</v>
      </c>
      <c r="E918" t="s">
        <v>866</v>
      </c>
      <c r="F918" t="s">
        <v>117</v>
      </c>
      <c r="G918" t="str">
        <f>VLOOKUP(F918,รายชื่อลูกบ้าน!$A:$B,2,FALSE)</f>
        <v>คุณธนัญกรณ์ ทาสระคู</v>
      </c>
      <c r="H918" t="s">
        <v>902</v>
      </c>
      <c r="J918" s="23">
        <v>1800</v>
      </c>
    </row>
    <row r="919" spans="1:10">
      <c r="A919" s="2">
        <v>242301</v>
      </c>
      <c r="B919" s="7" t="s">
        <v>34</v>
      </c>
      <c r="C919" s="3" t="str">
        <f>VLOOKUP(B919,'Accounts chart'!$A:$B,2,FALSE)</f>
        <v>รายรับค่าส่วนกลาง</v>
      </c>
      <c r="E919" t="s">
        <v>867</v>
      </c>
      <c r="F919" t="s">
        <v>141</v>
      </c>
      <c r="G919" t="str">
        <f>VLOOKUP(F919,รายชื่อลูกบ้าน!$A:$B,2,FALSE)</f>
        <v>คุณประวิทย์ จิตประสงค์</v>
      </c>
      <c r="H919" t="s">
        <v>383</v>
      </c>
      <c r="J919" s="23">
        <v>7200</v>
      </c>
    </row>
    <row r="920" spans="1:10">
      <c r="A920" s="25">
        <v>242301</v>
      </c>
      <c r="B920" s="26" t="s">
        <v>26</v>
      </c>
      <c r="C920" s="27" t="str">
        <f>VLOOKUP(B920,'Accounts chart'!$A:$B,2,FALSE)</f>
        <v>รายได้ค่าส่วนกลางไม่ทราบชือ</v>
      </c>
      <c r="D920" s="4"/>
      <c r="E920" s="4" t="s">
        <v>868</v>
      </c>
      <c r="F920" s="4" t="s">
        <v>834</v>
      </c>
      <c r="G920" s="4" t="e">
        <f>VLOOKUP(F920,รายชื่อลูกบ้าน!$A:$B,2,FALSE)</f>
        <v>#N/A</v>
      </c>
      <c r="H920" s="4" t="s">
        <v>834</v>
      </c>
      <c r="I920" s="28"/>
      <c r="J920" s="28">
        <v>4200</v>
      </c>
    </row>
    <row r="921" spans="1:10">
      <c r="A921" s="2">
        <v>242301</v>
      </c>
      <c r="B921" s="7" t="s">
        <v>34</v>
      </c>
      <c r="C921" s="3" t="str">
        <f>VLOOKUP(B921,'Accounts chart'!$A:$B,2,FALSE)</f>
        <v>รายรับค่าส่วนกลาง</v>
      </c>
      <c r="E921" t="s">
        <v>869</v>
      </c>
      <c r="F921" t="s">
        <v>241</v>
      </c>
      <c r="G921" t="str">
        <f>VLOOKUP(F921,รายชื่อลูกบ้าน!$A:$B,2,FALSE)</f>
        <v>คุณสุกิจ หมื่นยศ</v>
      </c>
      <c r="H921" t="s">
        <v>835</v>
      </c>
      <c r="J921" s="23">
        <v>600</v>
      </c>
    </row>
    <row r="922" spans="1:10">
      <c r="A922" s="2"/>
      <c r="C922" s="3"/>
    </row>
    <row r="923" spans="1:10">
      <c r="A923" s="2">
        <v>242302</v>
      </c>
      <c r="B923" s="7" t="s">
        <v>3</v>
      </c>
      <c r="C923" s="3" t="str">
        <f>VLOOKUP(B923,'Accounts chart'!$A:$B,2,FALSE)</f>
        <v>ธนาคารกสิกรไทย SA-040-1-56500-0</v>
      </c>
      <c r="E923" t="s">
        <v>870</v>
      </c>
      <c r="F923" t="s">
        <v>251</v>
      </c>
      <c r="G923" t="str">
        <f>VLOOKUP(F923,รายชื่อลูกบ้าน!$A:$B,2,FALSE)</f>
        <v>คุณวิบูลย์ ฤทธิ์ทองพิทักษ์</v>
      </c>
      <c r="H923" t="s">
        <v>835</v>
      </c>
      <c r="I923" s="23">
        <v>600</v>
      </c>
    </row>
    <row r="924" spans="1:10">
      <c r="A924" s="2">
        <v>242302</v>
      </c>
      <c r="B924" s="7" t="s">
        <v>3</v>
      </c>
      <c r="C924" s="3" t="str">
        <f>VLOOKUP(B924,'Accounts chart'!$A:$B,2,FALSE)</f>
        <v>ธนาคารกสิกรไทย SA-040-1-56500-0</v>
      </c>
      <c r="E924" t="s">
        <v>871</v>
      </c>
      <c r="F924" t="s">
        <v>182</v>
      </c>
      <c r="G924" t="str">
        <f>VLOOKUP(F924,รายชื่อลูกบ้าน!$A:$B,2,FALSE)</f>
        <v>คุณสิระพัชร์ หน่อแก้ว</v>
      </c>
      <c r="H924" t="s">
        <v>835</v>
      </c>
      <c r="I924" s="23">
        <v>600.53</v>
      </c>
    </row>
    <row r="925" spans="1:10">
      <c r="A925" s="2">
        <v>242302</v>
      </c>
      <c r="B925" s="7" t="s">
        <v>3</v>
      </c>
      <c r="C925" s="3" t="str">
        <f>VLOOKUP(B925,'Accounts chart'!$A:$B,2,FALSE)</f>
        <v>ธนาคารกสิกรไทย SA-040-1-56500-0</v>
      </c>
      <c r="E925" t="s">
        <v>872</v>
      </c>
      <c r="F925" t="s">
        <v>331</v>
      </c>
      <c r="G925" t="str">
        <f>VLOOKUP(F925,รายชื่อลูกบ้าน!$A:$B,2,FALSE)</f>
        <v>คุณวชิระ ช่างแก้ว</v>
      </c>
      <c r="H925" t="s">
        <v>903</v>
      </c>
      <c r="I925" s="23">
        <v>1200</v>
      </c>
    </row>
    <row r="926" spans="1:10">
      <c r="A926" s="2">
        <v>242302</v>
      </c>
      <c r="B926" s="7" t="s">
        <v>3</v>
      </c>
      <c r="C926" s="3" t="str">
        <f>VLOOKUP(B926,'Accounts chart'!$A:$B,2,FALSE)</f>
        <v>ธนาคารกสิกรไทย SA-040-1-56500-0</v>
      </c>
      <c r="E926" t="s">
        <v>873</v>
      </c>
      <c r="F926" t="s">
        <v>362</v>
      </c>
      <c r="G926" t="str">
        <f>VLOOKUP(F926,รายชื่อลูกบ้าน!$A:$B,2,FALSE)</f>
        <v>คุณพีรภัทร์ ศัสตราพฤกษ์</v>
      </c>
      <c r="H926" t="s">
        <v>835</v>
      </c>
      <c r="I926" s="23">
        <v>600</v>
      </c>
    </row>
    <row r="927" spans="1:10">
      <c r="A927" s="25">
        <v>242302</v>
      </c>
      <c r="B927" s="26" t="s">
        <v>3</v>
      </c>
      <c r="C927" s="27" t="str">
        <f>VLOOKUP(B927,'Accounts chart'!$A:$B,2,FALSE)</f>
        <v>ธนาคารกสิกรไทย SA-040-1-56500-0</v>
      </c>
      <c r="D927" s="4"/>
      <c r="E927" s="4" t="s">
        <v>874</v>
      </c>
      <c r="F927" s="4" t="s">
        <v>834</v>
      </c>
      <c r="G927" s="4" t="e">
        <f>VLOOKUP(F927,รายชื่อลูกบ้าน!$A:$B,2,FALSE)</f>
        <v>#N/A</v>
      </c>
      <c r="H927" s="4" t="s">
        <v>834</v>
      </c>
      <c r="I927" s="28">
        <v>600</v>
      </c>
      <c r="J927" s="28"/>
    </row>
    <row r="928" spans="1:10">
      <c r="A928" s="25">
        <v>242302</v>
      </c>
      <c r="B928" s="26" t="s">
        <v>3</v>
      </c>
      <c r="C928" s="27" t="str">
        <f>VLOOKUP(B928,'Accounts chart'!$A:$B,2,FALSE)</f>
        <v>ธนาคารกสิกรไทย SA-040-1-56500-0</v>
      </c>
      <c r="D928" s="4"/>
      <c r="E928" s="4" t="s">
        <v>875</v>
      </c>
      <c r="F928" s="4" t="s">
        <v>834</v>
      </c>
      <c r="G928" s="4" t="e">
        <f>VLOOKUP(F928,รายชื่อลูกบ้าน!$A:$B,2,FALSE)</f>
        <v>#N/A</v>
      </c>
      <c r="H928" s="4" t="s">
        <v>834</v>
      </c>
      <c r="I928" s="28">
        <v>600</v>
      </c>
      <c r="J928" s="28"/>
    </row>
    <row r="929" spans="1:10">
      <c r="A929" s="2">
        <v>242302</v>
      </c>
      <c r="B929" s="7" t="s">
        <v>34</v>
      </c>
      <c r="C929" s="3" t="str">
        <f>VLOOKUP(B929,'Accounts chart'!$A:$B,2,FALSE)</f>
        <v>รายรับค่าส่วนกลาง</v>
      </c>
      <c r="E929" t="s">
        <v>870</v>
      </c>
      <c r="F929" t="s">
        <v>251</v>
      </c>
      <c r="G929" t="str">
        <f>VLOOKUP(F929,รายชื่อลูกบ้าน!$A:$B,2,FALSE)</f>
        <v>คุณวิบูลย์ ฤทธิ์ทองพิทักษ์</v>
      </c>
      <c r="H929" t="s">
        <v>835</v>
      </c>
      <c r="I929"/>
      <c r="J929" s="23">
        <v>600</v>
      </c>
    </row>
    <row r="930" spans="1:10">
      <c r="A930" s="2">
        <v>242302</v>
      </c>
      <c r="B930" s="7" t="s">
        <v>34</v>
      </c>
      <c r="C930" s="3" t="str">
        <f>VLOOKUP(B930,'Accounts chart'!$A:$B,2,FALSE)</f>
        <v>รายรับค่าส่วนกลาง</v>
      </c>
      <c r="E930" t="s">
        <v>871</v>
      </c>
      <c r="F930" t="s">
        <v>182</v>
      </c>
      <c r="G930" t="str">
        <f>VLOOKUP(F930,รายชื่อลูกบ้าน!$A:$B,2,FALSE)</f>
        <v>คุณสิระพัชร์ หน่อแก้ว</v>
      </c>
      <c r="H930" t="s">
        <v>835</v>
      </c>
      <c r="I930"/>
      <c r="J930" s="23">
        <v>600.53</v>
      </c>
    </row>
    <row r="931" spans="1:10">
      <c r="A931" s="2">
        <v>242302</v>
      </c>
      <c r="B931" s="7" t="s">
        <v>34</v>
      </c>
      <c r="C931" s="3" t="str">
        <f>VLOOKUP(B931,'Accounts chart'!$A:$B,2,FALSE)</f>
        <v>รายรับค่าส่วนกลาง</v>
      </c>
      <c r="E931" t="s">
        <v>872</v>
      </c>
      <c r="F931" t="s">
        <v>331</v>
      </c>
      <c r="G931" t="str">
        <f>VLOOKUP(F931,รายชื่อลูกบ้าน!$A:$B,2,FALSE)</f>
        <v>คุณวชิระ ช่างแก้ว</v>
      </c>
      <c r="H931" t="s">
        <v>903</v>
      </c>
      <c r="I931"/>
      <c r="J931" s="23">
        <v>1200</v>
      </c>
    </row>
    <row r="932" spans="1:10">
      <c r="A932" s="2">
        <v>242302</v>
      </c>
      <c r="B932" s="7" t="s">
        <v>34</v>
      </c>
      <c r="C932" s="3" t="str">
        <f>VLOOKUP(B932,'Accounts chart'!$A:$B,2,FALSE)</f>
        <v>รายรับค่าส่วนกลาง</v>
      </c>
      <c r="E932" t="s">
        <v>873</v>
      </c>
      <c r="F932" t="s">
        <v>362</v>
      </c>
      <c r="G932" t="str">
        <f>VLOOKUP(F932,รายชื่อลูกบ้าน!$A:$B,2,FALSE)</f>
        <v>คุณพีรภัทร์ ศัสตราพฤกษ์</v>
      </c>
      <c r="H932" t="s">
        <v>835</v>
      </c>
      <c r="I932"/>
      <c r="J932" s="23">
        <v>600</v>
      </c>
    </row>
    <row r="933" spans="1:10">
      <c r="A933" s="25">
        <v>242302</v>
      </c>
      <c r="B933" s="26" t="s">
        <v>26</v>
      </c>
      <c r="C933" s="27" t="str">
        <f>VLOOKUP(B933,'Accounts chart'!$A:$B,2,FALSE)</f>
        <v>รายได้ค่าส่วนกลางไม่ทราบชือ</v>
      </c>
      <c r="D933" s="4"/>
      <c r="E933" s="4" t="s">
        <v>874</v>
      </c>
      <c r="F933" s="4" t="s">
        <v>834</v>
      </c>
      <c r="G933" s="4" t="e">
        <f>VLOOKUP(F933,รายชื่อลูกบ้าน!$A:$B,2,FALSE)</f>
        <v>#N/A</v>
      </c>
      <c r="H933" s="4" t="s">
        <v>834</v>
      </c>
      <c r="I933" s="4"/>
      <c r="J933" s="28">
        <v>600</v>
      </c>
    </row>
    <row r="934" spans="1:10">
      <c r="A934" s="25">
        <v>242302</v>
      </c>
      <c r="B934" s="26" t="s">
        <v>26</v>
      </c>
      <c r="C934" s="27" t="str">
        <f>VLOOKUP(B934,'Accounts chart'!$A:$B,2,FALSE)</f>
        <v>รายได้ค่าส่วนกลางไม่ทราบชือ</v>
      </c>
      <c r="D934" s="4"/>
      <c r="E934" s="4" t="s">
        <v>875</v>
      </c>
      <c r="F934" s="4" t="s">
        <v>834</v>
      </c>
      <c r="G934" s="4" t="e">
        <f>VLOOKUP(F934,รายชื่อลูกบ้าน!$A:$B,2,FALSE)</f>
        <v>#N/A</v>
      </c>
      <c r="H934" s="4" t="s">
        <v>834</v>
      </c>
      <c r="I934" s="4"/>
      <c r="J934" s="28">
        <v>600</v>
      </c>
    </row>
    <row r="935" spans="1:10">
      <c r="A935" s="2"/>
      <c r="C935" s="3"/>
      <c r="I935" s="20"/>
      <c r="J935" s="20"/>
    </row>
    <row r="936" spans="1:10">
      <c r="A936" s="25">
        <v>242303</v>
      </c>
      <c r="B936" s="26" t="s">
        <v>3</v>
      </c>
      <c r="C936" s="27" t="str">
        <f>VLOOKUP(B936,'Accounts chart'!$A:$B,2,FALSE)</f>
        <v>ธนาคารกสิกรไทย SA-040-1-56500-0</v>
      </c>
      <c r="D936" s="4"/>
      <c r="E936" s="4" t="s">
        <v>876</v>
      </c>
      <c r="F936" s="4" t="s">
        <v>834</v>
      </c>
      <c r="G936" s="4" t="e">
        <f>VLOOKUP(F936,รายชื่อลูกบ้าน!$A:$B,2,FALSE)</f>
        <v>#N/A</v>
      </c>
      <c r="H936" s="4" t="s">
        <v>834</v>
      </c>
      <c r="I936" s="28">
        <v>600</v>
      </c>
      <c r="J936" s="28"/>
    </row>
    <row r="937" spans="1:10">
      <c r="A937" s="25">
        <v>242303</v>
      </c>
      <c r="B937" s="26" t="s">
        <v>26</v>
      </c>
      <c r="C937" s="27" t="str">
        <f>VLOOKUP(B937,'Accounts chart'!$A:$B,2,FALSE)</f>
        <v>รายได้ค่าส่วนกลางไม่ทราบชือ</v>
      </c>
      <c r="D937" s="4"/>
      <c r="E937" s="4" t="s">
        <v>876</v>
      </c>
      <c r="F937" s="4" t="s">
        <v>834</v>
      </c>
      <c r="G937" s="4" t="e">
        <f>VLOOKUP(F937,รายชื่อลูกบ้าน!$A:$B,2,FALSE)</f>
        <v>#N/A</v>
      </c>
      <c r="H937" s="4" t="s">
        <v>834</v>
      </c>
      <c r="I937" s="4"/>
      <c r="J937" s="28">
        <v>600</v>
      </c>
    </row>
    <row r="938" spans="1:10">
      <c r="A938" s="2"/>
      <c r="C938" s="3"/>
      <c r="I938" s="20"/>
      <c r="J938" s="20"/>
    </row>
    <row r="939" spans="1:10">
      <c r="A939" s="2">
        <v>242304</v>
      </c>
      <c r="B939" s="7" t="s">
        <v>3</v>
      </c>
      <c r="C939" s="3" t="str">
        <f>VLOOKUP(B939,'Accounts chart'!$A:$B,2,FALSE)</f>
        <v>ธนาคารกสิกรไทย SA-040-1-56500-0</v>
      </c>
      <c r="E939" t="s">
        <v>877</v>
      </c>
      <c r="F939" t="s">
        <v>319</v>
      </c>
      <c r="G939" t="str">
        <f>VLOOKUP(F939,รายชื่อลูกบ้าน!$A:$B,2,FALSE)</f>
        <v>คุณณัฐพงศ์ สุวรรณมณี</v>
      </c>
      <c r="H939" t="s">
        <v>835</v>
      </c>
      <c r="I939" s="23">
        <v>600</v>
      </c>
    </row>
    <row r="940" spans="1:10">
      <c r="A940" s="2">
        <v>242304</v>
      </c>
      <c r="B940" s="7" t="s">
        <v>34</v>
      </c>
      <c r="C940" s="3" t="str">
        <f>VLOOKUP(B940,'Accounts chart'!$A:$B,2,FALSE)</f>
        <v>รายรับค่าส่วนกลาง</v>
      </c>
      <c r="E940" t="s">
        <v>877</v>
      </c>
      <c r="F940" t="s">
        <v>319</v>
      </c>
      <c r="G940" t="str">
        <f>VLOOKUP(F940,รายชื่อลูกบ้าน!$A:$B,2,FALSE)</f>
        <v>คุณณัฐพงศ์ สุวรรณมณี</v>
      </c>
      <c r="H940" t="s">
        <v>835</v>
      </c>
      <c r="J940" s="23">
        <v>600</v>
      </c>
    </row>
    <row r="941" spans="1:10">
      <c r="A941" s="2"/>
      <c r="C941" s="3"/>
    </row>
    <row r="942" spans="1:10">
      <c r="A942" s="2">
        <v>242305</v>
      </c>
      <c r="B942" s="7" t="s">
        <v>3</v>
      </c>
      <c r="C942" s="3" t="str">
        <f>VLOOKUP(B942,'Accounts chart'!$A:$B,2,FALSE)</f>
        <v>ธนาคารกสิกรไทย SA-040-1-56500-0</v>
      </c>
      <c r="E942" t="s">
        <v>878</v>
      </c>
      <c r="F942" t="s">
        <v>201</v>
      </c>
      <c r="G942" t="str">
        <f>VLOOKUP(F942,รายชื่อลูกบ้าน!$A:$B,2,FALSE)</f>
        <v>คุณณัฐธีร์ เลิศรัตน์วัฒนา</v>
      </c>
      <c r="H942" t="s">
        <v>835</v>
      </c>
      <c r="I942" s="23">
        <v>600</v>
      </c>
    </row>
    <row r="943" spans="1:10">
      <c r="A943" s="2">
        <v>242305</v>
      </c>
      <c r="B943" s="7" t="s">
        <v>3</v>
      </c>
      <c r="C943" s="3" t="str">
        <f>VLOOKUP(B943,'Accounts chart'!$A:$B,2,FALSE)</f>
        <v>ธนาคารกสิกรไทย SA-040-1-56500-0</v>
      </c>
      <c r="E943" t="s">
        <v>879</v>
      </c>
      <c r="F943" t="s">
        <v>227</v>
      </c>
      <c r="G943" t="str">
        <f>VLOOKUP(F943,รายชื่อลูกบ้าน!$A:$B,2,FALSE)</f>
        <v>คุณเกียรติชัย การรุ่งเรือง-คุณศศิธร เศียรศิริบัณฑิต</v>
      </c>
      <c r="H943" t="s">
        <v>835</v>
      </c>
      <c r="I943" s="23">
        <v>600</v>
      </c>
    </row>
    <row r="944" spans="1:10">
      <c r="A944" s="2">
        <v>242305</v>
      </c>
      <c r="B944" s="7" t="s">
        <v>3</v>
      </c>
      <c r="C944" s="3" t="str">
        <f>VLOOKUP(B944,'Accounts chart'!$A:$B,2,FALSE)</f>
        <v>ธนาคารกสิกรไทย SA-040-1-56500-0</v>
      </c>
      <c r="E944" t="s">
        <v>880</v>
      </c>
      <c r="F944" t="s">
        <v>364</v>
      </c>
      <c r="G944" t="str">
        <f>VLOOKUP(F944,รายชื่อลูกบ้าน!$A:$B,2,FALSE)</f>
        <v>คุณกิตติ แสวงภาค</v>
      </c>
      <c r="H944" t="s">
        <v>904</v>
      </c>
      <c r="I944" s="23">
        <v>600</v>
      </c>
    </row>
    <row r="945" spans="1:10">
      <c r="A945" s="25">
        <v>242305</v>
      </c>
      <c r="B945" s="26" t="s">
        <v>3</v>
      </c>
      <c r="C945" s="27" t="str">
        <f>VLOOKUP(B945,'Accounts chart'!$A:$B,2,FALSE)</f>
        <v>ธนาคารกสิกรไทย SA-040-1-56500-0</v>
      </c>
      <c r="D945" s="4"/>
      <c r="E945" s="4" t="s">
        <v>881</v>
      </c>
      <c r="F945" s="4" t="s">
        <v>834</v>
      </c>
      <c r="G945" s="4" t="e">
        <f>VLOOKUP(F945,รายชื่อลูกบ้าน!$A:$B,2,FALSE)</f>
        <v>#N/A</v>
      </c>
      <c r="H945" s="4" t="s">
        <v>834</v>
      </c>
      <c r="I945" s="28">
        <v>600</v>
      </c>
      <c r="J945" s="28"/>
    </row>
    <row r="946" spans="1:10">
      <c r="A946" s="2">
        <v>242305</v>
      </c>
      <c r="B946" s="7" t="s">
        <v>34</v>
      </c>
      <c r="C946" s="3" t="str">
        <f>VLOOKUP(B946,'Accounts chart'!$A:$B,2,FALSE)</f>
        <v>รายรับค่าส่วนกลาง</v>
      </c>
      <c r="E946" t="s">
        <v>878</v>
      </c>
      <c r="F946" t="s">
        <v>201</v>
      </c>
      <c r="G946" t="str">
        <f>VLOOKUP(F946,รายชื่อลูกบ้าน!$A:$B,2,FALSE)</f>
        <v>คุณณัฐธีร์ เลิศรัตน์วัฒนา</v>
      </c>
      <c r="H946" t="s">
        <v>835</v>
      </c>
      <c r="I946"/>
      <c r="J946" s="23">
        <v>600</v>
      </c>
    </row>
    <row r="947" spans="1:10">
      <c r="A947" s="2">
        <v>242305</v>
      </c>
      <c r="B947" s="7" t="s">
        <v>34</v>
      </c>
      <c r="C947" s="3" t="str">
        <f>VLOOKUP(B947,'Accounts chart'!$A:$B,2,FALSE)</f>
        <v>รายรับค่าส่วนกลาง</v>
      </c>
      <c r="E947" t="s">
        <v>879</v>
      </c>
      <c r="F947" t="s">
        <v>227</v>
      </c>
      <c r="G947" t="str">
        <f>VLOOKUP(F947,รายชื่อลูกบ้าน!$A:$B,2,FALSE)</f>
        <v>คุณเกียรติชัย การรุ่งเรือง-คุณศศิธร เศียรศิริบัณฑิต</v>
      </c>
      <c r="H947" t="s">
        <v>835</v>
      </c>
      <c r="I947"/>
      <c r="J947" s="23">
        <v>600</v>
      </c>
    </row>
    <row r="948" spans="1:10">
      <c r="A948" s="2">
        <v>242305</v>
      </c>
      <c r="B948" s="7" t="s">
        <v>34</v>
      </c>
      <c r="C948" s="3" t="str">
        <f>VLOOKUP(B948,'Accounts chart'!$A:$B,2,FALSE)</f>
        <v>รายรับค่าส่วนกลาง</v>
      </c>
      <c r="E948" t="s">
        <v>880</v>
      </c>
      <c r="F948" t="s">
        <v>364</v>
      </c>
      <c r="G948" t="str">
        <f>VLOOKUP(F948,รายชื่อลูกบ้าน!$A:$B,2,FALSE)</f>
        <v>คุณกิตติ แสวงภาค</v>
      </c>
      <c r="H948" t="s">
        <v>904</v>
      </c>
      <c r="I948"/>
      <c r="J948" s="23">
        <v>600</v>
      </c>
    </row>
    <row r="949" spans="1:10">
      <c r="A949" s="25">
        <v>242305</v>
      </c>
      <c r="B949" s="26" t="s">
        <v>26</v>
      </c>
      <c r="C949" s="27" t="str">
        <f>VLOOKUP(B949,'Accounts chart'!$A:$B,2,FALSE)</f>
        <v>รายได้ค่าส่วนกลางไม่ทราบชือ</v>
      </c>
      <c r="D949" s="4"/>
      <c r="E949" s="4" t="s">
        <v>881</v>
      </c>
      <c r="F949" s="4" t="s">
        <v>834</v>
      </c>
      <c r="G949" s="4" t="e">
        <f>VLOOKUP(F949,รายชื่อลูกบ้าน!$A:$B,2,FALSE)</f>
        <v>#N/A</v>
      </c>
      <c r="H949" s="4" t="s">
        <v>834</v>
      </c>
      <c r="I949" s="4"/>
      <c r="J949" s="28">
        <v>600</v>
      </c>
    </row>
    <row r="950" spans="1:10">
      <c r="A950" s="2"/>
      <c r="C950" s="3"/>
      <c r="I950" s="20"/>
      <c r="J950" s="20"/>
    </row>
    <row r="951" spans="1:10">
      <c r="A951" s="2">
        <v>242306</v>
      </c>
      <c r="B951" s="7" t="s">
        <v>3</v>
      </c>
      <c r="C951" s="3" t="str">
        <f>VLOOKUP(B951,'Accounts chart'!$A:$B,2,FALSE)</f>
        <v>ธนาคารกสิกรไทย SA-040-1-56500-0</v>
      </c>
      <c r="E951" t="s">
        <v>882</v>
      </c>
      <c r="F951" t="s">
        <v>323</v>
      </c>
      <c r="G951" t="str">
        <f>VLOOKUP(F951,รายชื่อลูกบ้าน!$A:$B,2,FALSE)</f>
        <v>คุณเกียงไกร ไชยเดช</v>
      </c>
      <c r="H951" t="s">
        <v>835</v>
      </c>
      <c r="I951" s="23">
        <v>600</v>
      </c>
    </row>
    <row r="952" spans="1:10">
      <c r="A952" s="2">
        <v>242306</v>
      </c>
      <c r="B952" s="7" t="s">
        <v>3</v>
      </c>
      <c r="C952" s="3" t="str">
        <f>VLOOKUP(B952,'Accounts chart'!$A:$B,2,FALSE)</f>
        <v>ธนาคารกสิกรไทย SA-040-1-56500-0</v>
      </c>
      <c r="E952" t="s">
        <v>883</v>
      </c>
      <c r="F952" t="s">
        <v>130</v>
      </c>
      <c r="G952" t="str">
        <f>VLOOKUP(F952,รายชื่อลูกบ้าน!$A:$B,2,FALSE)</f>
        <v>คุณสุทัศน์ หรือสุวรรณ-คุณอัญชลี จิตรเอื้อ</v>
      </c>
      <c r="H952" t="s">
        <v>902</v>
      </c>
      <c r="I952" s="23">
        <v>1800</v>
      </c>
    </row>
    <row r="953" spans="1:10">
      <c r="A953" s="2">
        <v>242306</v>
      </c>
      <c r="B953" s="7" t="s">
        <v>3</v>
      </c>
      <c r="C953" s="3" t="str">
        <f>VLOOKUP(B953,'Accounts chart'!$A:$B,2,FALSE)</f>
        <v>ธนาคารกสิกรไทย SA-040-1-56500-0</v>
      </c>
      <c r="E953" t="s">
        <v>884</v>
      </c>
      <c r="F953" t="s">
        <v>69</v>
      </c>
      <c r="G953" t="str">
        <f>VLOOKUP(F953,รายชื่อลูกบ้าน!$A:$B,2,FALSE)</f>
        <v>คุณโกวิท-คุณศันสนีย์ รัตนมณี</v>
      </c>
      <c r="H953" t="s">
        <v>835</v>
      </c>
      <c r="I953" s="23">
        <v>600</v>
      </c>
    </row>
    <row r="954" spans="1:10">
      <c r="A954" s="2">
        <v>242306</v>
      </c>
      <c r="B954" s="7" t="s">
        <v>3</v>
      </c>
      <c r="C954" s="3" t="str">
        <f>VLOOKUP(B954,'Accounts chart'!$A:$B,2,FALSE)</f>
        <v>ธนาคารกสิกรไทย SA-040-1-56500-0</v>
      </c>
      <c r="E954" t="s">
        <v>885</v>
      </c>
      <c r="F954" t="s">
        <v>358</v>
      </c>
      <c r="G954" t="str">
        <f>VLOOKUP(F954,รายชื่อลูกบ้าน!$A:$B,2,FALSE)</f>
        <v>คุณอำนาจ โพธิ์จันทร์</v>
      </c>
      <c r="H954" t="s">
        <v>905</v>
      </c>
      <c r="I954" s="23">
        <v>4201.5200000000004</v>
      </c>
    </row>
    <row r="955" spans="1:10">
      <c r="A955" s="25">
        <v>242306</v>
      </c>
      <c r="B955" s="26" t="s">
        <v>3</v>
      </c>
      <c r="C955" s="27" t="str">
        <f>VLOOKUP(B955,'Accounts chart'!$A:$B,2,FALSE)</f>
        <v>ธนาคารกสิกรไทย SA-040-1-56500-0</v>
      </c>
      <c r="D955" s="4"/>
      <c r="E955" s="4" t="s">
        <v>886</v>
      </c>
      <c r="F955" s="4" t="s">
        <v>834</v>
      </c>
      <c r="G955" s="4" t="e">
        <f>VLOOKUP(F955,รายชื่อลูกบ้าน!$A:$B,2,FALSE)</f>
        <v>#N/A</v>
      </c>
      <c r="H955" s="4" t="s">
        <v>834</v>
      </c>
      <c r="I955" s="28">
        <v>600</v>
      </c>
      <c r="J955" s="28"/>
    </row>
    <row r="956" spans="1:10">
      <c r="A956" s="25">
        <v>242306</v>
      </c>
      <c r="B956" s="26" t="s">
        <v>3</v>
      </c>
      <c r="C956" s="27" t="str">
        <f>VLOOKUP(B956,'Accounts chart'!$A:$B,2,FALSE)</f>
        <v>ธนาคารกสิกรไทย SA-040-1-56500-0</v>
      </c>
      <c r="D956" s="4"/>
      <c r="E956" s="4" t="s">
        <v>887</v>
      </c>
      <c r="F956" s="4" t="s">
        <v>834</v>
      </c>
      <c r="G956" s="4" t="e">
        <f>VLOOKUP(F956,รายชื่อลูกบ้าน!$A:$B,2,FALSE)</f>
        <v>#N/A</v>
      </c>
      <c r="H956" s="4" t="s">
        <v>834</v>
      </c>
      <c r="I956" s="28">
        <v>1800</v>
      </c>
      <c r="J956" s="28"/>
    </row>
    <row r="957" spans="1:10">
      <c r="A957" s="2">
        <v>242306</v>
      </c>
      <c r="B957" s="7" t="s">
        <v>3</v>
      </c>
      <c r="C957" s="3" t="str">
        <f>VLOOKUP(B957,'Accounts chart'!$A:$B,2,FALSE)</f>
        <v>ธนาคารกสิกรไทย SA-040-1-56500-0</v>
      </c>
      <c r="E957" t="s">
        <v>888</v>
      </c>
      <c r="F957" t="s">
        <v>126</v>
      </c>
      <c r="G957" t="str">
        <f>VLOOKUP(F957,รายชื่อลูกบ้าน!$A:$B,2,FALSE)</f>
        <v>คุณนิกร คาดสันเทียะ</v>
      </c>
      <c r="H957" t="s">
        <v>906</v>
      </c>
      <c r="I957" s="23">
        <v>3600</v>
      </c>
    </row>
    <row r="958" spans="1:10">
      <c r="A958" s="2">
        <v>242306</v>
      </c>
      <c r="B958" s="7" t="s">
        <v>34</v>
      </c>
      <c r="C958" s="3" t="str">
        <f>VLOOKUP(B958,'Accounts chart'!$A:$B,2,FALSE)</f>
        <v>รายรับค่าส่วนกลาง</v>
      </c>
      <c r="E958" t="s">
        <v>882</v>
      </c>
      <c r="F958" t="s">
        <v>323</v>
      </c>
      <c r="G958" t="str">
        <f>VLOOKUP(F958,รายชื่อลูกบ้าน!$A:$B,2,FALSE)</f>
        <v>คุณเกียงไกร ไชยเดช</v>
      </c>
      <c r="H958" t="s">
        <v>835</v>
      </c>
      <c r="J958" s="23">
        <v>600</v>
      </c>
    </row>
    <row r="959" spans="1:10">
      <c r="A959" s="2">
        <v>242306</v>
      </c>
      <c r="B959" s="7" t="s">
        <v>34</v>
      </c>
      <c r="C959" s="3" t="str">
        <f>VLOOKUP(B959,'Accounts chart'!$A:$B,2,FALSE)</f>
        <v>รายรับค่าส่วนกลาง</v>
      </c>
      <c r="E959" t="s">
        <v>883</v>
      </c>
      <c r="F959" t="s">
        <v>130</v>
      </c>
      <c r="G959" t="str">
        <f>VLOOKUP(F959,รายชื่อลูกบ้าน!$A:$B,2,FALSE)</f>
        <v>คุณสุทัศน์ หรือสุวรรณ-คุณอัญชลี จิตรเอื้อ</v>
      </c>
      <c r="H959" t="s">
        <v>902</v>
      </c>
      <c r="J959" s="23">
        <v>1800</v>
      </c>
    </row>
    <row r="960" spans="1:10">
      <c r="A960" s="2">
        <v>242306</v>
      </c>
      <c r="B960" s="7" t="s">
        <v>34</v>
      </c>
      <c r="C960" s="3" t="str">
        <f>VLOOKUP(B960,'Accounts chart'!$A:$B,2,FALSE)</f>
        <v>รายรับค่าส่วนกลาง</v>
      </c>
      <c r="E960" t="s">
        <v>884</v>
      </c>
      <c r="F960" t="s">
        <v>69</v>
      </c>
      <c r="G960" t="str">
        <f>VLOOKUP(F960,รายชื่อลูกบ้าน!$A:$B,2,FALSE)</f>
        <v>คุณโกวิท-คุณศันสนีย์ รัตนมณี</v>
      </c>
      <c r="H960" t="s">
        <v>835</v>
      </c>
      <c r="J960" s="23">
        <v>600</v>
      </c>
    </row>
    <row r="961" spans="1:11">
      <c r="A961" s="2">
        <v>242306</v>
      </c>
      <c r="B961" s="7" t="s">
        <v>4</v>
      </c>
      <c r="C961" s="3" t="str">
        <f>VLOOKUP(B961,'Accounts chart'!$A:$B,2,FALSE)</f>
        <v>ลูกหนี้ค่าส่วนกลาง</v>
      </c>
      <c r="E961" t="s">
        <v>885</v>
      </c>
      <c r="F961" t="s">
        <v>358</v>
      </c>
      <c r="G961" t="str">
        <f>VLOOKUP(F961,รายชื่อลูกบ้าน!$A:$B,2,FALSE)</f>
        <v>คุณอำนาจ โพธิ์จันทร์</v>
      </c>
      <c r="H961" t="s">
        <v>908</v>
      </c>
      <c r="J961" s="23">
        <v>1200</v>
      </c>
      <c r="K961" s="23"/>
    </row>
    <row r="962" spans="1:11">
      <c r="A962" s="2">
        <v>242306</v>
      </c>
      <c r="B962" s="7" t="s">
        <v>34</v>
      </c>
      <c r="C962" s="3" t="str">
        <f>VLOOKUP(B962,'Accounts chart'!$A:$B,2,FALSE)</f>
        <v>รายรับค่าส่วนกลาง</v>
      </c>
      <c r="E962" t="s">
        <v>885</v>
      </c>
      <c r="F962" t="s">
        <v>358</v>
      </c>
      <c r="G962" t="str">
        <f>VLOOKUP(F962,รายชื่อลูกบ้าน!$A:$B,2,FALSE)</f>
        <v>คุณอำนาจ โพธิ์จันทร์</v>
      </c>
      <c r="H962" t="s">
        <v>909</v>
      </c>
      <c r="J962" s="23">
        <v>3001.52</v>
      </c>
    </row>
    <row r="963" spans="1:11">
      <c r="A963" s="25">
        <v>242306</v>
      </c>
      <c r="B963" s="26" t="s">
        <v>26</v>
      </c>
      <c r="C963" s="27" t="str">
        <f>VLOOKUP(B963,'Accounts chart'!$A:$B,2,FALSE)</f>
        <v>รายได้ค่าส่วนกลางไม่ทราบชือ</v>
      </c>
      <c r="D963" s="4"/>
      <c r="E963" s="4" t="s">
        <v>886</v>
      </c>
      <c r="F963" s="4" t="s">
        <v>834</v>
      </c>
      <c r="G963" s="4" t="e">
        <f>VLOOKUP(F963,รายชื่อลูกบ้าน!$A:$B,2,FALSE)</f>
        <v>#N/A</v>
      </c>
      <c r="H963" s="4" t="s">
        <v>834</v>
      </c>
      <c r="I963" s="28"/>
      <c r="J963" s="28">
        <v>600</v>
      </c>
    </row>
    <row r="964" spans="1:11">
      <c r="A964" s="25">
        <v>242306</v>
      </c>
      <c r="B964" s="26" t="s">
        <v>26</v>
      </c>
      <c r="C964" s="27" t="str">
        <f>VLOOKUP(B964,'Accounts chart'!$A:$B,2,FALSE)</f>
        <v>รายได้ค่าส่วนกลางไม่ทราบชือ</v>
      </c>
      <c r="D964" s="4"/>
      <c r="E964" s="4" t="s">
        <v>887</v>
      </c>
      <c r="F964" s="4" t="s">
        <v>834</v>
      </c>
      <c r="G964" s="4" t="e">
        <f>VLOOKUP(F964,รายชื่อลูกบ้าน!$A:$B,2,FALSE)</f>
        <v>#N/A</v>
      </c>
      <c r="H964" s="4" t="s">
        <v>834</v>
      </c>
      <c r="I964" s="28"/>
      <c r="J964" s="28">
        <v>1800</v>
      </c>
    </row>
    <row r="965" spans="1:11">
      <c r="A965" s="2">
        <v>242306</v>
      </c>
      <c r="B965" s="7" t="s">
        <v>4</v>
      </c>
      <c r="C965" s="3" t="str">
        <f>VLOOKUP(B965,'Accounts chart'!$A:$B,2,FALSE)</f>
        <v>ลูกหนี้ค่าส่วนกลาง</v>
      </c>
      <c r="E965" t="s">
        <v>888</v>
      </c>
      <c r="F965" t="s">
        <v>126</v>
      </c>
      <c r="G965" t="str">
        <f>VLOOKUP(F965,รายชื่อลูกบ้าน!$A:$B,2,FALSE)</f>
        <v>คุณนิกร คาดสันเทียะ</v>
      </c>
      <c r="H965" t="s">
        <v>906</v>
      </c>
      <c r="J965" s="23">
        <v>3600</v>
      </c>
    </row>
    <row r="966" spans="1:11">
      <c r="A966" s="2"/>
      <c r="C966" s="3"/>
    </row>
    <row r="967" spans="1:11">
      <c r="A967" s="2">
        <v>242307</v>
      </c>
      <c r="B967" s="7" t="s">
        <v>3</v>
      </c>
      <c r="C967" s="3" t="str">
        <f>VLOOKUP(B967,'Accounts chart'!$A:$B,2,FALSE)</f>
        <v>ธนาคารกสิกรไทย SA-040-1-56500-0</v>
      </c>
      <c r="E967" t="s">
        <v>889</v>
      </c>
      <c r="F967" t="s">
        <v>101</v>
      </c>
      <c r="G967" t="str">
        <f>VLOOKUP(F967,รายชื่อลูกบ้าน!$A:$B,2,FALSE)</f>
        <v>คุณเฉลิมเกียรติ และนางนันริญา ราชนาจันทร์</v>
      </c>
      <c r="H967" t="s">
        <v>835</v>
      </c>
      <c r="I967" s="23">
        <v>600</v>
      </c>
    </row>
    <row r="968" spans="1:11">
      <c r="A968" s="2">
        <v>242307</v>
      </c>
      <c r="B968" s="7" t="s">
        <v>3</v>
      </c>
      <c r="C968" s="3" t="str">
        <f>VLOOKUP(B968,'Accounts chart'!$A:$B,2,FALSE)</f>
        <v>ธนาคารกสิกรไทย SA-040-1-56500-0</v>
      </c>
      <c r="E968" t="s">
        <v>890</v>
      </c>
      <c r="F968" t="s">
        <v>119</v>
      </c>
      <c r="G968" t="str">
        <f>VLOOKUP(F968,รายชื่อลูกบ้าน!$A:$B,2,FALSE)</f>
        <v>คุณกนกลักษณ์ วิลเลี่ยมส์</v>
      </c>
      <c r="H968" t="s">
        <v>907</v>
      </c>
      <c r="I968" s="23">
        <v>1800.15</v>
      </c>
    </row>
    <row r="969" spans="1:11">
      <c r="A969" s="2">
        <v>242307</v>
      </c>
      <c r="B969" s="7" t="s">
        <v>3</v>
      </c>
      <c r="C969" s="3" t="str">
        <f>VLOOKUP(B969,'Accounts chart'!$A:$B,2,FALSE)</f>
        <v>ธนาคารกสิกรไทย SA-040-1-56500-0</v>
      </c>
      <c r="E969" t="s">
        <v>891</v>
      </c>
      <c r="F969" t="s">
        <v>185</v>
      </c>
      <c r="G969" t="str">
        <f>VLOOKUP(F969,รายชื่อลูกบ้าน!$A:$B,2,FALSE)</f>
        <v>คุณชาญชัย ตนะศุภผล</v>
      </c>
      <c r="H969" t="s">
        <v>904</v>
      </c>
      <c r="I969" s="23">
        <v>600.54999999999995</v>
      </c>
    </row>
    <row r="970" spans="1:11">
      <c r="A970" s="2">
        <v>242307</v>
      </c>
      <c r="B970" s="7" t="s">
        <v>3</v>
      </c>
      <c r="C970" s="3" t="str">
        <f>VLOOKUP(B970,'Accounts chart'!$A:$B,2,FALSE)</f>
        <v>ธนาคารกสิกรไทย SA-040-1-56500-0</v>
      </c>
      <c r="E970" t="s">
        <v>892</v>
      </c>
      <c r="F970" t="s">
        <v>233</v>
      </c>
      <c r="G970" t="str">
        <f>VLOOKUP(F970,รายชื่อลูกบ้าน!$A:$B,2,FALSE)</f>
        <v>คุณวิทยา วัดเข้าหลาม</v>
      </c>
      <c r="H970" t="s">
        <v>904</v>
      </c>
      <c r="I970" s="23">
        <v>600.80999999999995</v>
      </c>
    </row>
    <row r="971" spans="1:11">
      <c r="A971" s="2">
        <v>242307</v>
      </c>
      <c r="B971" s="7" t="s">
        <v>3</v>
      </c>
      <c r="C971" s="3" t="str">
        <f>VLOOKUP(B971,'Accounts chart'!$A:$B,2,FALSE)</f>
        <v>ธนาคารกสิกรไทย SA-040-1-56500-0</v>
      </c>
      <c r="E971" t="s">
        <v>893</v>
      </c>
      <c r="F971" t="s">
        <v>187</v>
      </c>
      <c r="G971" t="str">
        <f>VLOOKUP(F971,รายชื่อลูกบ้าน!$A:$B,2,FALSE)</f>
        <v>นายญัชพล ภู่ถาวร</v>
      </c>
      <c r="H971" t="s">
        <v>904</v>
      </c>
      <c r="I971" s="23">
        <v>600</v>
      </c>
    </row>
    <row r="972" spans="1:11">
      <c r="A972" s="2">
        <v>242307</v>
      </c>
      <c r="B972" s="7" t="s">
        <v>3</v>
      </c>
      <c r="C972" s="3" t="str">
        <f>VLOOKUP(B972,'Accounts chart'!$A:$B,2,FALSE)</f>
        <v>ธนาคารกสิกรไทย SA-040-1-56500-0</v>
      </c>
      <c r="E972" t="s">
        <v>894</v>
      </c>
      <c r="F972" t="s">
        <v>118</v>
      </c>
      <c r="G972" t="str">
        <f>VLOOKUP(F972,รายชื่อลูกบ้าน!$A:$B,2,FALSE)</f>
        <v>คุณด้ามพรรณ ตั้งทองจิตร-คุณศราวุธ ฑพธาภิรมย์</v>
      </c>
      <c r="H972" t="s">
        <v>665</v>
      </c>
      <c r="I972" s="23">
        <v>600</v>
      </c>
    </row>
    <row r="973" spans="1:11">
      <c r="A973" s="25">
        <v>242307</v>
      </c>
      <c r="B973" s="26" t="s">
        <v>3</v>
      </c>
      <c r="C973" s="27" t="str">
        <f>VLOOKUP(B973,'Accounts chart'!$A:$B,2,FALSE)</f>
        <v>ธนาคารกสิกรไทย SA-040-1-56500-0</v>
      </c>
      <c r="D973" s="4"/>
      <c r="E973" s="4" t="s">
        <v>895</v>
      </c>
      <c r="F973" s="4" t="s">
        <v>898</v>
      </c>
      <c r="G973" s="4" t="e">
        <f>VLOOKUP(F973,รายชื่อลูกบ้าน!$A:$B,2,FALSE)</f>
        <v>#N/A</v>
      </c>
      <c r="H973" s="4" t="s">
        <v>834</v>
      </c>
      <c r="I973" s="28">
        <v>600</v>
      </c>
      <c r="J973" s="28"/>
    </row>
    <row r="974" spans="1:11">
      <c r="A974" s="2">
        <v>242307</v>
      </c>
      <c r="B974" s="7" t="s">
        <v>34</v>
      </c>
      <c r="C974" s="3" t="str">
        <f>VLOOKUP(B974,'Accounts chart'!$A:$B,2,FALSE)</f>
        <v>รายรับค่าส่วนกลาง</v>
      </c>
      <c r="E974" t="s">
        <v>889</v>
      </c>
      <c r="F974" t="s">
        <v>101</v>
      </c>
      <c r="G974" t="str">
        <f>VLOOKUP(F974,รายชื่อลูกบ้าน!$A:$B,2,FALSE)</f>
        <v>คุณเฉลิมเกียรติ และนางนันริญา ราชนาจันทร์</v>
      </c>
      <c r="H974" t="s">
        <v>835</v>
      </c>
      <c r="I974"/>
      <c r="J974" s="23">
        <v>600</v>
      </c>
    </row>
    <row r="975" spans="1:11">
      <c r="A975" s="2">
        <v>242307</v>
      </c>
      <c r="B975" s="7" t="s">
        <v>34</v>
      </c>
      <c r="C975" s="3" t="str">
        <f>VLOOKUP(B975,'Accounts chart'!$A:$B,2,FALSE)</f>
        <v>รายรับค่าส่วนกลาง</v>
      </c>
      <c r="E975" t="s">
        <v>890</v>
      </c>
      <c r="F975" t="s">
        <v>119</v>
      </c>
      <c r="G975" t="str">
        <f>VLOOKUP(F975,รายชื่อลูกบ้าน!$A:$B,2,FALSE)</f>
        <v>คุณกนกลักษณ์ วิลเลี่ยมส์</v>
      </c>
      <c r="H975" t="s">
        <v>907</v>
      </c>
      <c r="I975"/>
      <c r="J975" s="23">
        <v>1800.15</v>
      </c>
    </row>
    <row r="976" spans="1:11">
      <c r="A976" s="2">
        <v>242307</v>
      </c>
      <c r="B976" s="7" t="s">
        <v>34</v>
      </c>
      <c r="C976" s="3" t="str">
        <f>VLOOKUP(B976,'Accounts chart'!$A:$B,2,FALSE)</f>
        <v>รายรับค่าส่วนกลาง</v>
      </c>
      <c r="E976" t="s">
        <v>891</v>
      </c>
      <c r="F976" t="s">
        <v>185</v>
      </c>
      <c r="G976" t="str">
        <f>VLOOKUP(F976,รายชื่อลูกบ้าน!$A:$B,2,FALSE)</f>
        <v>คุณชาญชัย ตนะศุภผล</v>
      </c>
      <c r="H976" t="s">
        <v>904</v>
      </c>
      <c r="I976"/>
      <c r="J976" s="23">
        <v>600.54999999999995</v>
      </c>
    </row>
    <row r="977" spans="1:10">
      <c r="A977" s="2">
        <v>242307</v>
      </c>
      <c r="B977" s="7" t="s">
        <v>34</v>
      </c>
      <c r="C977" s="3" t="str">
        <f>VLOOKUP(B977,'Accounts chart'!$A:$B,2,FALSE)</f>
        <v>รายรับค่าส่วนกลาง</v>
      </c>
      <c r="E977" t="s">
        <v>892</v>
      </c>
      <c r="F977" t="s">
        <v>233</v>
      </c>
      <c r="G977" t="str">
        <f>VLOOKUP(F977,รายชื่อลูกบ้าน!$A:$B,2,FALSE)</f>
        <v>คุณวิทยา วัดเข้าหลาม</v>
      </c>
      <c r="H977" t="s">
        <v>904</v>
      </c>
      <c r="I977"/>
      <c r="J977" s="23">
        <v>600.80999999999995</v>
      </c>
    </row>
    <row r="978" spans="1:10">
      <c r="A978" s="2">
        <v>242307</v>
      </c>
      <c r="B978" s="7" t="s">
        <v>34</v>
      </c>
      <c r="C978" s="3" t="str">
        <f>VLOOKUP(B978,'Accounts chart'!$A:$B,2,FALSE)</f>
        <v>รายรับค่าส่วนกลาง</v>
      </c>
      <c r="E978" t="s">
        <v>893</v>
      </c>
      <c r="F978" t="s">
        <v>187</v>
      </c>
      <c r="G978" t="str">
        <f>VLOOKUP(F978,รายชื่อลูกบ้าน!$A:$B,2,FALSE)</f>
        <v>นายญัชพล ภู่ถาวร</v>
      </c>
      <c r="H978" t="s">
        <v>904</v>
      </c>
      <c r="I978"/>
      <c r="J978" s="23">
        <v>600</v>
      </c>
    </row>
    <row r="979" spans="1:10">
      <c r="A979" s="2">
        <v>242307</v>
      </c>
      <c r="B979" s="7" t="s">
        <v>34</v>
      </c>
      <c r="C979" s="3" t="str">
        <f>VLOOKUP(B979,'Accounts chart'!$A:$B,2,FALSE)</f>
        <v>รายรับค่าส่วนกลาง</v>
      </c>
      <c r="E979" t="s">
        <v>894</v>
      </c>
      <c r="F979" t="s">
        <v>118</v>
      </c>
      <c r="G979" t="str">
        <f>VLOOKUP(F979,รายชื่อลูกบ้าน!$A:$B,2,FALSE)</f>
        <v>คุณด้ามพรรณ ตั้งทองจิตร-คุณศราวุธ ฑพธาภิรมย์</v>
      </c>
      <c r="H979" t="s">
        <v>665</v>
      </c>
      <c r="I979"/>
      <c r="J979" s="23">
        <v>600</v>
      </c>
    </row>
    <row r="980" spans="1:10">
      <c r="A980" s="25">
        <v>242307</v>
      </c>
      <c r="B980" s="26" t="s">
        <v>26</v>
      </c>
      <c r="C980" s="27" t="str">
        <f>VLOOKUP(B980,'Accounts chart'!$A:$B,2,FALSE)</f>
        <v>รายได้ค่าส่วนกลางไม่ทราบชือ</v>
      </c>
      <c r="D980" s="4"/>
      <c r="E980" s="4" t="s">
        <v>895</v>
      </c>
      <c r="F980" s="4" t="s">
        <v>898</v>
      </c>
      <c r="G980" s="4" t="e">
        <f>VLOOKUP(F980,รายชื่อลูกบ้าน!$A:$B,2,FALSE)</f>
        <v>#N/A</v>
      </c>
      <c r="H980" s="4" t="s">
        <v>834</v>
      </c>
      <c r="I980" s="4"/>
      <c r="J980" s="28">
        <v>600</v>
      </c>
    </row>
    <row r="981" spans="1:10">
      <c r="A981" s="2"/>
      <c r="C981" s="3"/>
      <c r="I981" s="20"/>
      <c r="J981" s="20"/>
    </row>
    <row r="982" spans="1:10">
      <c r="A982" s="2">
        <v>242308</v>
      </c>
      <c r="B982" s="7" t="s">
        <v>3</v>
      </c>
      <c r="C982" s="3" t="str">
        <f>VLOOKUP(B982,'Accounts chart'!$A:$B,2,FALSE)</f>
        <v>ธนาคารกสิกรไทย SA-040-1-56500-0</v>
      </c>
      <c r="E982" t="s">
        <v>896</v>
      </c>
      <c r="F982" t="s">
        <v>195</v>
      </c>
      <c r="G982" t="str">
        <f>VLOOKUP(F982,รายชื่อลูกบ้าน!$A:$B,2,FALSE)</f>
        <v>คุณชานนท์ นนทรังษี</v>
      </c>
      <c r="H982" t="s">
        <v>835</v>
      </c>
      <c r="I982" s="23">
        <v>600</v>
      </c>
    </row>
    <row r="983" spans="1:10">
      <c r="A983" s="2">
        <v>242308</v>
      </c>
      <c r="B983" s="7" t="s">
        <v>3</v>
      </c>
      <c r="C983" s="3" t="str">
        <f>VLOOKUP(B983,'Accounts chart'!$A:$B,2,FALSE)</f>
        <v>ธนาคารกสิกรไทย SA-040-1-56500-0</v>
      </c>
      <c r="E983" t="s">
        <v>897</v>
      </c>
      <c r="F983" t="s">
        <v>72</v>
      </c>
      <c r="G983" t="str">
        <f>VLOOKUP(F983,รายชื่อลูกบ้าน!$A:$B,2,FALSE)</f>
        <v>คุณวรวุฒิ นาทอง</v>
      </c>
      <c r="H983" t="s">
        <v>835</v>
      </c>
      <c r="I983" s="23">
        <v>600</v>
      </c>
    </row>
    <row r="984" spans="1:10">
      <c r="A984" s="2">
        <v>242308</v>
      </c>
      <c r="B984" s="7" t="s">
        <v>34</v>
      </c>
      <c r="C984" s="3" t="str">
        <f>VLOOKUP(B984,'Accounts chart'!$A:$B,2,FALSE)</f>
        <v>รายรับค่าส่วนกลาง</v>
      </c>
      <c r="E984" t="s">
        <v>896</v>
      </c>
      <c r="F984" t="s">
        <v>195</v>
      </c>
      <c r="G984" t="str">
        <f>VLOOKUP(F984,รายชื่อลูกบ้าน!$A:$B,2,FALSE)</f>
        <v>คุณชานนท์ นนทรังษี</v>
      </c>
      <c r="H984" t="s">
        <v>835</v>
      </c>
      <c r="J984" s="23">
        <v>600</v>
      </c>
    </row>
    <row r="985" spans="1:10">
      <c r="A985" s="2">
        <v>242308</v>
      </c>
      <c r="B985" s="7" t="s">
        <v>34</v>
      </c>
      <c r="C985" s="3" t="str">
        <f>VLOOKUP(B985,'Accounts chart'!$A:$B,2,FALSE)</f>
        <v>รายรับค่าส่วนกลาง</v>
      </c>
      <c r="E985" t="s">
        <v>897</v>
      </c>
      <c r="F985" t="s">
        <v>72</v>
      </c>
      <c r="G985" t="str">
        <f>VLOOKUP(F985,รายชื่อลูกบ้าน!$A:$B,2,FALSE)</f>
        <v>คุณวรวุฒิ นาทอง</v>
      </c>
      <c r="H985" t="s">
        <v>835</v>
      </c>
      <c r="J985" s="23">
        <v>600</v>
      </c>
    </row>
    <row r="986" spans="1:10">
      <c r="A986" s="2"/>
      <c r="C986" s="3"/>
    </row>
    <row r="987" spans="1:10">
      <c r="A987" s="2">
        <v>242308</v>
      </c>
      <c r="B987" s="7" t="s">
        <v>46</v>
      </c>
      <c r="C987" s="3" t="str">
        <f>VLOOKUP(B987,'Accounts chart'!$A:$B,2,FALSE)</f>
        <v>ค่าดูแลส่วนกลาง</v>
      </c>
      <c r="D987" t="s">
        <v>974</v>
      </c>
      <c r="H987" t="s">
        <v>967</v>
      </c>
      <c r="I987" s="23">
        <v>15000</v>
      </c>
    </row>
    <row r="988" spans="1:10">
      <c r="A988" s="2">
        <v>242308</v>
      </c>
      <c r="B988" s="7" t="s">
        <v>48</v>
      </c>
      <c r="C988" s="3" t="str">
        <f>VLOOKUP(B988,'Accounts chart'!$A:$B,2,FALSE)</f>
        <v>ค่ารักษาความปลอดภัย</v>
      </c>
      <c r="D988" t="s">
        <v>974</v>
      </c>
      <c r="H988" t="s">
        <v>967</v>
      </c>
      <c r="I988" s="23">
        <v>38814.32</v>
      </c>
    </row>
    <row r="989" spans="1:10">
      <c r="A989" s="2">
        <v>242308</v>
      </c>
      <c r="B989" s="7" t="s">
        <v>50</v>
      </c>
      <c r="C989" s="3" t="str">
        <f>VLOOKUP(B989,'Accounts chart'!$A:$B,2,FALSE)</f>
        <v>ค่าเก็บขยะ</v>
      </c>
      <c r="D989" t="s">
        <v>974</v>
      </c>
      <c r="H989" t="s">
        <v>967</v>
      </c>
      <c r="I989" s="23">
        <v>3000</v>
      </c>
    </row>
    <row r="990" spans="1:10">
      <c r="A990" s="2">
        <v>242308</v>
      </c>
      <c r="B990" s="7" t="s">
        <v>54</v>
      </c>
      <c r="C990" s="3" t="str">
        <f>VLOOKUP(B990,'Accounts chart'!$A:$B,2,FALSE)</f>
        <v>ค่าไฟฟ้า</v>
      </c>
      <c r="D990" t="s">
        <v>974</v>
      </c>
      <c r="H990" t="s">
        <v>967</v>
      </c>
      <c r="I990" s="23">
        <v>4930.58</v>
      </c>
    </row>
    <row r="991" spans="1:10">
      <c r="A991" s="2">
        <v>242308</v>
      </c>
      <c r="B991" s="7" t="s">
        <v>22</v>
      </c>
      <c r="C991" s="3" t="str">
        <f>VLOOKUP(B991,'Accounts chart'!$A:$B,2,FALSE)</f>
        <v>ค่าดูแลส่วนกลางค้างจ่าย</v>
      </c>
      <c r="D991" t="s">
        <v>974</v>
      </c>
      <c r="H991" t="s">
        <v>967</v>
      </c>
      <c r="J991" s="23">
        <v>15000</v>
      </c>
    </row>
    <row r="992" spans="1:10">
      <c r="A992" s="2">
        <v>242308</v>
      </c>
      <c r="B992" s="7" t="s">
        <v>18</v>
      </c>
      <c r="C992" s="3" t="str">
        <f>VLOOKUP(B992,'Accounts chart'!$A:$B,2,FALSE)</f>
        <v>ค่ารักษาความปลอดภัยค้างจ่าย</v>
      </c>
      <c r="D992" t="s">
        <v>974</v>
      </c>
      <c r="H992" t="s">
        <v>967</v>
      </c>
      <c r="J992" s="23">
        <v>38814.32</v>
      </c>
    </row>
    <row r="993" spans="1:10">
      <c r="A993" s="2">
        <v>242308</v>
      </c>
      <c r="B993" s="7" t="s">
        <v>14</v>
      </c>
      <c r="C993" s="3" t="str">
        <f>VLOOKUP(B993,'Accounts chart'!$A:$B,2,FALSE)</f>
        <v>ค่าเก็บขยะค้างจ่าย</v>
      </c>
      <c r="D993" t="s">
        <v>974</v>
      </c>
      <c r="H993" t="s">
        <v>967</v>
      </c>
      <c r="J993" s="23">
        <v>3000</v>
      </c>
    </row>
    <row r="994" spans="1:10">
      <c r="A994" s="2">
        <v>242308</v>
      </c>
      <c r="B994" s="7" t="s">
        <v>20</v>
      </c>
      <c r="C994" s="3" t="str">
        <f>VLOOKUP(B994,'Accounts chart'!$A:$B,2,FALSE)</f>
        <v>ค่าไฟฟ้าค้างจ่าย</v>
      </c>
      <c r="D994" t="s">
        <v>974</v>
      </c>
      <c r="H994" t="s">
        <v>967</v>
      </c>
      <c r="J994" s="23">
        <v>4930.58</v>
      </c>
    </row>
    <row r="995" spans="1:10">
      <c r="A995" s="2"/>
      <c r="C995" s="3"/>
    </row>
    <row r="996" spans="1:10">
      <c r="A996" s="2"/>
      <c r="C996" s="3"/>
    </row>
    <row r="997" spans="1:10">
      <c r="A997" s="2"/>
      <c r="C997" s="3"/>
    </row>
    <row r="998" spans="1:10">
      <c r="A998" s="2"/>
      <c r="C998" s="3"/>
    </row>
    <row r="999" spans="1:10">
      <c r="A999" s="2"/>
      <c r="C999" s="3"/>
    </row>
  </sheetData>
  <autoFilter ref="A5:L999" xr:uid="{2D2548F8-8D1B-465F-8901-D43F54214692}"/>
  <mergeCells count="3">
    <mergeCell ref="B1:J1"/>
    <mergeCell ref="B2:J2"/>
    <mergeCell ref="B3:J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B9BD-D0DF-4B9D-B8A5-6F4B5E191EE4}">
  <sheetPr>
    <pageSetUpPr fitToPage="1"/>
  </sheetPr>
  <dimension ref="A1:S51"/>
  <sheetViews>
    <sheetView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O55" sqref="O55"/>
    </sheetView>
  </sheetViews>
  <sheetFormatPr defaultRowHeight="20.100000000000001" customHeight="1" outlineLevelCol="1"/>
  <cols>
    <col min="1" max="1" width="9.7109375" style="42" customWidth="1"/>
    <col min="2" max="2" width="32.28515625" style="42" customWidth="1"/>
    <col min="3" max="3" width="15.140625" style="42" customWidth="1"/>
    <col min="4" max="5" width="15.140625" style="42" hidden="1" customWidth="1" outlineLevel="1"/>
    <col min="6" max="6" width="16.7109375" style="42" customWidth="1" collapsed="1"/>
    <col min="7" max="8" width="16.7109375" style="42" hidden="1" customWidth="1" outlineLevel="1"/>
    <col min="9" max="9" width="16.7109375" style="42" customWidth="1" collapsed="1"/>
    <col min="10" max="11" width="16.7109375" style="42" hidden="1" customWidth="1" outlineLevel="1"/>
    <col min="12" max="12" width="16.7109375" style="42" customWidth="1" collapsed="1"/>
    <col min="13" max="14" width="16.7109375" style="42" hidden="1" customWidth="1" outlineLevel="1"/>
    <col min="15" max="15" width="16.7109375" style="42" customWidth="1" collapsed="1"/>
    <col min="16" max="17" width="16.7109375" style="42" hidden="1" customWidth="1" outlineLevel="1"/>
    <col min="18" max="18" width="16.7109375" style="42" customWidth="1" collapsed="1"/>
    <col min="19" max="19" width="17.140625" style="42" customWidth="1"/>
    <col min="20" max="16384" width="9.140625" style="42"/>
  </cols>
  <sheetData>
    <row r="1" spans="1:19" ht="23.25" customHeight="1">
      <c r="A1" s="48"/>
      <c r="B1" s="48"/>
      <c r="C1" s="75" t="s">
        <v>62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</row>
    <row r="2" spans="1:19" ht="24.75" customHeight="1">
      <c r="A2" s="44"/>
      <c r="B2" s="44"/>
      <c r="C2" s="76" t="s">
        <v>1004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19" ht="45.75" thickBot="1">
      <c r="A3" s="50" t="s">
        <v>65</v>
      </c>
      <c r="B3" s="49" t="s">
        <v>1001</v>
      </c>
      <c r="C3" s="53" t="s">
        <v>970</v>
      </c>
      <c r="D3" s="53" t="s">
        <v>989</v>
      </c>
      <c r="E3" s="53" t="s">
        <v>990</v>
      </c>
      <c r="F3" s="53" t="s">
        <v>982</v>
      </c>
      <c r="G3" s="53" t="s">
        <v>991</v>
      </c>
      <c r="H3" s="53" t="s">
        <v>992</v>
      </c>
      <c r="I3" s="53" t="s">
        <v>983</v>
      </c>
      <c r="J3" s="53" t="s">
        <v>993</v>
      </c>
      <c r="K3" s="53" t="s">
        <v>994</v>
      </c>
      <c r="L3" s="53" t="s">
        <v>984</v>
      </c>
      <c r="M3" s="53" t="s">
        <v>995</v>
      </c>
      <c r="N3" s="53" t="s">
        <v>996</v>
      </c>
      <c r="O3" s="53" t="s">
        <v>985</v>
      </c>
      <c r="P3" s="53" t="s">
        <v>997</v>
      </c>
      <c r="Q3" s="53" t="s">
        <v>998</v>
      </c>
      <c r="R3" s="53" t="s">
        <v>986</v>
      </c>
      <c r="S3" s="53" t="s">
        <v>1005</v>
      </c>
    </row>
    <row r="4" spans="1:19" ht="25.5" customHeight="1">
      <c r="B4" s="52" t="s">
        <v>1003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5"/>
    </row>
    <row r="5" spans="1:19" ht="20.100000000000001" customHeight="1">
      <c r="A5" s="42" t="s">
        <v>0</v>
      </c>
      <c r="B5" s="42" t="s">
        <v>1</v>
      </c>
      <c r="C5" s="56">
        <v>5000</v>
      </c>
      <c r="D5" s="56">
        <f>SUMIF('บันทึกรายการ 63'!$B$7:$B$254,'Statement 63'!A5,'บันทึกรายการ 63'!$I$7:$I$254)</f>
        <v>0</v>
      </c>
      <c r="E5" s="56">
        <f>SUMIF('บันทึกรายการ 63'!$B$7:$B$254,'Statement 63'!A5,'บันทึกรายการ 63'!$J$7:$J$254)</f>
        <v>0</v>
      </c>
      <c r="F5" s="57">
        <f t="shared" ref="F5:F11" si="0">C5+D5-E5</f>
        <v>5000</v>
      </c>
      <c r="G5" s="56">
        <f>SUMIF('บันทึกรายการ 63'!$B$257:$B$467,'Statement 63'!A5,'บันทึกรายการ 63'!$I$257:$I$467)</f>
        <v>0</v>
      </c>
      <c r="H5" s="56">
        <f>SUMIF('บันทึกรายการ 63'!$B$257:$B$467,'Statement 63'!A5,'บันทึกรายการ 63'!$J$257:$J$467)</f>
        <v>5000</v>
      </c>
      <c r="I5" s="57">
        <f>F5+G5-H5</f>
        <v>0</v>
      </c>
      <c r="J5" s="56">
        <f>SUMIF('บันทึกรายการ 63'!$B$471:$B$647,'Statement 63'!A5,'บันทึกรายการ 63'!$I$471:$I$647)</f>
        <v>2</v>
      </c>
      <c r="K5" s="56">
        <f>SUMIF('บันทึกรายการ 63'!$B$471:$B$647,'Statement 63'!A5,'บันทึกรายการ 63'!$J$471:$J$647)</f>
        <v>0</v>
      </c>
      <c r="L5" s="57">
        <f>I5+J5-K5</f>
        <v>2</v>
      </c>
      <c r="M5" s="56">
        <f>SUMIF('บันทึกรายการ 63'!$B$649:$B$819,'Statement 63'!A5,'บันทึกรายการ 63'!$I$649:$I$819)</f>
        <v>0</v>
      </c>
      <c r="N5" s="56">
        <f>SUMIF('บันทึกรายการ 63'!$B$649:$B$819,'Statement 63'!A5,'บันทึกรายการ 63'!$J$649:$J$819)</f>
        <v>0</v>
      </c>
      <c r="O5" s="57">
        <f>L5+M5-N5</f>
        <v>2</v>
      </c>
      <c r="P5" s="56">
        <f>SUMIF('บันทึกรายการ 63'!$B$822:$B$994,'Statement 63'!A5,'บันทึกรายการ 63'!$I$822:$I$994)</f>
        <v>0</v>
      </c>
      <c r="Q5" s="56">
        <f>SUMIF('บันทึกรายการ 63'!$B$822:$B$994,'Statement 63'!A5,'บันทึกรายการ 63'!$J$822:$J$994)</f>
        <v>0</v>
      </c>
      <c r="R5" s="57">
        <f>O5+P5-Q5</f>
        <v>2</v>
      </c>
      <c r="S5" s="57">
        <f>R5</f>
        <v>2</v>
      </c>
    </row>
    <row r="6" spans="1:19" ht="20.100000000000001" customHeight="1">
      <c r="A6" s="42" t="s">
        <v>2</v>
      </c>
      <c r="B6" s="42" t="s">
        <v>387</v>
      </c>
      <c r="C6" s="56">
        <v>198050.55</v>
      </c>
      <c r="D6" s="56">
        <f>SUMIF('บันทึกรายการ 63'!$B$7:$B$254,'Statement 63'!A6,'บันทึกรายการ 63'!$I$7:$I$254)</f>
        <v>0</v>
      </c>
      <c r="E6" s="56">
        <f>SUMIF('บันทึกรายการ 63'!$B$7:$B$254,'Statement 63'!A6,'บันทึกรายการ 63'!$J$7:$J$254)</f>
        <v>135561.63999999998</v>
      </c>
      <c r="F6" s="57">
        <f t="shared" si="0"/>
        <v>62488.91</v>
      </c>
      <c r="G6" s="56">
        <f>SUMIF('บันทึกรายการ 63'!$B$257:$B$467,'Statement 63'!A6,'บันทึกรายการ 63'!$I$257:$I$467)</f>
        <v>200000</v>
      </c>
      <c r="H6" s="56">
        <f>SUMIF('บันทึกรายการ 63'!$B$257:$B$467,'Statement 63'!A6,'บันทึกรายการ 63'!$J$257:$J$467)</f>
        <v>106522</v>
      </c>
      <c r="I6" s="57">
        <f t="shared" ref="I6:I11" si="1">F6+G6-H6</f>
        <v>155966.91000000003</v>
      </c>
      <c r="J6" s="56">
        <f>SUMIF('บันทึกรายการ 63'!$B$471:$B$647,'Statement 63'!A6,'บันทึกรายการ 63'!$I$471:$I$647)</f>
        <v>0</v>
      </c>
      <c r="K6" s="56">
        <f>SUMIF('บันทึกรายการ 63'!$B$471:$B$647,'Statement 63'!A6,'บันทึกรายการ 63'!$J$471:$J$647)</f>
        <v>60003.66</v>
      </c>
      <c r="L6" s="57">
        <f t="shared" ref="L6:L11" si="2">I6+J6-K6</f>
        <v>95963.250000000029</v>
      </c>
      <c r="M6" s="56">
        <f>SUMIF('บันทึกรายการ 63'!$B$649:$B$819,'Statement 63'!A6,'บันทึกรายการ 63'!$I$649:$I$819)</f>
        <v>0</v>
      </c>
      <c r="N6" s="56">
        <f>SUMIF('บันทึกรายการ 63'!$B$649:$B$819,'Statement 63'!A6,'บันทึกรายการ 63'!$J$649:$J$819)</f>
        <v>72258.09</v>
      </c>
      <c r="O6" s="57">
        <f t="shared" ref="O6:O11" si="3">L6+M6-N6</f>
        <v>23705.160000000033</v>
      </c>
      <c r="P6" s="56">
        <f>SUMIF('บันทึกรายการ 63'!$B$822:$B$994,'Statement 63'!A6,'บันทึกรายการ 63'!$I$822:$I$994)</f>
        <v>100000</v>
      </c>
      <c r="Q6" s="56">
        <f>SUMIF('บันทึกรายการ 63'!$B$822:$B$994,'Statement 63'!A6,'บันทึกรายการ 63'!$J$822:$J$994)</f>
        <v>52753.68</v>
      </c>
      <c r="R6" s="57">
        <f t="shared" ref="R6:R11" si="4">O6+P6-Q6</f>
        <v>70951.48000000004</v>
      </c>
      <c r="S6" s="57">
        <f t="shared" ref="S6:S11" si="5">R6</f>
        <v>70951.48000000004</v>
      </c>
    </row>
    <row r="7" spans="1:19" ht="20.100000000000001" customHeight="1">
      <c r="A7" s="42" t="s">
        <v>3</v>
      </c>
      <c r="B7" s="42" t="s">
        <v>388</v>
      </c>
      <c r="C7" s="56">
        <v>735946.99000000022</v>
      </c>
      <c r="D7" s="56">
        <f>SUMIF('บันทึกรายการ 63'!$B$7:$B$254,'Statement 63'!A7,'บันทึกรายการ 63'!$I$7:$I$254)</f>
        <v>236011.78999999998</v>
      </c>
      <c r="E7" s="56">
        <f>SUMIF('บันทึกรายการ 63'!$B$7:$B$254,'Statement 63'!A7,'บันทึกรายการ 63'!$J$7:$J$254)</f>
        <v>0</v>
      </c>
      <c r="F7" s="57">
        <f t="shared" si="0"/>
        <v>971958.78000000026</v>
      </c>
      <c r="G7" s="56">
        <f>SUMIF('บันทึกรายการ 63'!$B$257:$B$467,'Statement 63'!A7,'บันทึกรายการ 63'!$I$257:$I$467)</f>
        <v>122004.69</v>
      </c>
      <c r="H7" s="56">
        <f>SUMIF('บันทึกรายการ 63'!$B$257:$B$467,'Statement 63'!A7,'บันทึกรายการ 63'!$J$257:$J$467)</f>
        <v>203000</v>
      </c>
      <c r="I7" s="57">
        <f t="shared" si="1"/>
        <v>890963.4700000002</v>
      </c>
      <c r="J7" s="56">
        <f>SUMIF('บันทึกรายการ 63'!$B$471:$B$647,'Statement 63'!A7,'บันทึกรายการ 63'!$I$471:$I$647)</f>
        <v>58004.12</v>
      </c>
      <c r="K7" s="56">
        <f>SUMIF('บันทึกรายการ 63'!$B$471:$B$647,'Statement 63'!A7,'บันทึกรายการ 63'!$J$471:$J$647)</f>
        <v>15000</v>
      </c>
      <c r="L7" s="57">
        <f t="shared" si="2"/>
        <v>933967.5900000002</v>
      </c>
      <c r="M7" s="56">
        <f>SUMIF('บันทึกรายการ 63'!$B$649:$B$819,'Statement 63'!A7,'บันทึกรายการ 63'!$I$649:$I$819)</f>
        <v>55806.409999999996</v>
      </c>
      <c r="N7" s="56">
        <f>SUMIF('บันทึกรายการ 63'!$B$649:$B$819,'Statement 63'!A7,'บันทึกรายการ 63'!$J$649:$J$819)</f>
        <v>0</v>
      </c>
      <c r="O7" s="57">
        <f t="shared" si="3"/>
        <v>989774.00000000023</v>
      </c>
      <c r="P7" s="56">
        <f>SUMIF('บันทึกรายการ 63'!$B$822:$B$994,'Statement 63'!A7,'บันทึกรายการ 63'!$I$822:$I$994)</f>
        <v>64104.46</v>
      </c>
      <c r="Q7" s="56">
        <f>SUMIF('บันทึกรายการ 63'!$B$822:$B$994,'Statement 63'!A7,'บันทึกรายการ 63'!$J$822:$J$994)</f>
        <v>115000</v>
      </c>
      <c r="R7" s="57">
        <f t="shared" si="4"/>
        <v>938878.4600000002</v>
      </c>
      <c r="S7" s="57">
        <f t="shared" si="5"/>
        <v>938878.4600000002</v>
      </c>
    </row>
    <row r="8" spans="1:19" ht="20.100000000000001" customHeight="1">
      <c r="A8" s="42" t="s">
        <v>4</v>
      </c>
      <c r="B8" s="42" t="s">
        <v>5</v>
      </c>
      <c r="C8" s="56">
        <v>376200</v>
      </c>
      <c r="D8" s="56">
        <f>SUMIF('บันทึกรายการ 63'!$B$7:$B$254,'Statement 63'!A8,'บันทึกรายการ 63'!$I$7:$I$254)</f>
        <v>0</v>
      </c>
      <c r="E8" s="56">
        <f>SUMIF('บันทึกรายการ 63'!$B$7:$B$254,'Statement 63'!A8,'บันทึกรายการ 63'!$J$7:$J$254)</f>
        <v>34802.31</v>
      </c>
      <c r="F8" s="57">
        <f t="shared" si="0"/>
        <v>341397.69</v>
      </c>
      <c r="G8" s="56">
        <f>SUMIF('บันทึกรายการ 63'!$B$257:$B$467,'Statement 63'!A8,'บันทึกรายการ 63'!$I$257:$I$467)</f>
        <v>0</v>
      </c>
      <c r="H8" s="56">
        <f>SUMIF('บันทึกรายการ 63'!$B$257:$B$467,'Statement 63'!A8,'บันทึกรายการ 63'!$J$257:$J$467)</f>
        <v>25200</v>
      </c>
      <c r="I8" s="57">
        <f t="shared" si="1"/>
        <v>316197.69</v>
      </c>
      <c r="J8" s="56">
        <f>SUMIF('บันทึกรายการ 63'!$B$471:$B$647,'Statement 63'!A8,'บันทึกรายการ 63'!$I$471:$I$647)</f>
        <v>0</v>
      </c>
      <c r="K8" s="56">
        <f>SUMIF('บันทึกรายการ 63'!$B$471:$B$647,'Statement 63'!A8,'บันทึกรายการ 63'!$J$471:$J$647)</f>
        <v>7800</v>
      </c>
      <c r="L8" s="57">
        <f t="shared" si="2"/>
        <v>308397.69</v>
      </c>
      <c r="M8" s="56">
        <f>SUMIF('บันทึกรายการ 63'!$B$649:$B$819,'Statement 63'!A8,'บันทึกรายการ 63'!$I$649:$I$819)</f>
        <v>0</v>
      </c>
      <c r="N8" s="56">
        <f>SUMIF('บันทึกรายการ 63'!$B$649:$B$819,'Statement 63'!A8,'บันทึกรายการ 63'!$J$649:$J$819)</f>
        <v>0</v>
      </c>
      <c r="O8" s="57">
        <f t="shared" si="3"/>
        <v>308397.69</v>
      </c>
      <c r="P8" s="56">
        <f>SUMIF('บันทึกรายการ 63'!$B$822:$B$994,'Statement 63'!A8,'บันทึกรายการ 63'!$I$822:$I$994)</f>
        <v>0</v>
      </c>
      <c r="Q8" s="56">
        <f>SUMIF('บันทึกรายการ 63'!$B$822:$B$994,'Statement 63'!A8,'บันทึกรายการ 63'!$J$822:$J$994)</f>
        <v>4800</v>
      </c>
      <c r="R8" s="57">
        <f t="shared" si="4"/>
        <v>303597.69</v>
      </c>
      <c r="S8" s="57">
        <f t="shared" si="5"/>
        <v>303597.69</v>
      </c>
    </row>
    <row r="9" spans="1:19" ht="20.100000000000001" customHeight="1">
      <c r="A9" s="42" t="s">
        <v>6</v>
      </c>
      <c r="B9" s="42" t="s">
        <v>7</v>
      </c>
      <c r="C9" s="56">
        <v>18.71</v>
      </c>
      <c r="D9" s="56">
        <f>SUMIF('บันทึกรายการ 63'!$B$7:$B$254,'Statement 63'!A9,'บันทึกรายการ 63'!$I$7:$I$254)</f>
        <v>0</v>
      </c>
      <c r="E9" s="56">
        <f>SUMIF('บันทึกรายการ 63'!$B$7:$B$254,'Statement 63'!A9,'บันทึกรายการ 63'!$J$7:$J$254)</f>
        <v>0</v>
      </c>
      <c r="F9" s="57">
        <f t="shared" si="0"/>
        <v>18.71</v>
      </c>
      <c r="G9" s="56">
        <f>SUMIF('บันทึกรายการ 63'!$B$257:$B$467,'Statement 63'!A9,'บันทึกรายการ 63'!$I$257:$I$467)</f>
        <v>0</v>
      </c>
      <c r="H9" s="56">
        <f>SUMIF('บันทึกรายการ 63'!$B$257:$B$467,'Statement 63'!A9,'บันทึกรายการ 63'!$J$257:$J$467)</f>
        <v>0</v>
      </c>
      <c r="I9" s="57">
        <f t="shared" si="1"/>
        <v>18.71</v>
      </c>
      <c r="J9" s="56">
        <f>SUMIF('บันทึกรายการ 63'!$B$471:$B$647,'Statement 63'!A9,'บันทึกรายการ 63'!$I$471:$I$647)</f>
        <v>0</v>
      </c>
      <c r="K9" s="56">
        <f>SUMIF('บันทึกรายการ 63'!$B$471:$B$647,'Statement 63'!A9,'บันทึกรายการ 63'!$J$471:$J$647)</f>
        <v>0</v>
      </c>
      <c r="L9" s="57">
        <f t="shared" si="2"/>
        <v>18.71</v>
      </c>
      <c r="M9" s="56">
        <f>SUMIF('บันทึกรายการ 63'!$B$649:$B$819,'Statement 63'!A9,'บันทึกรายการ 63'!$I$649:$I$819)</f>
        <v>0</v>
      </c>
      <c r="N9" s="56">
        <f>SUMIF('บันทึกรายการ 63'!$B$649:$B$819,'Statement 63'!A9,'บันทึกรายการ 63'!$J$649:$J$819)</f>
        <v>0</v>
      </c>
      <c r="O9" s="57">
        <f t="shared" si="3"/>
        <v>18.71</v>
      </c>
      <c r="P9" s="56">
        <f>SUMIF('บันทึกรายการ 63'!$B$822:$B$994,'Statement 63'!A9,'บันทึกรายการ 63'!$I$822:$I$994)</f>
        <v>0</v>
      </c>
      <c r="Q9" s="56">
        <f>SUMIF('บันทึกรายการ 63'!$B$822:$B$994,'Statement 63'!A9,'บันทึกรายการ 63'!$J$822:$J$994)</f>
        <v>0</v>
      </c>
      <c r="R9" s="57">
        <f t="shared" si="4"/>
        <v>18.71</v>
      </c>
      <c r="S9" s="57">
        <f t="shared" si="5"/>
        <v>18.71</v>
      </c>
    </row>
    <row r="10" spans="1:19" ht="20.100000000000001" customHeight="1">
      <c r="A10" s="42" t="s">
        <v>8</v>
      </c>
      <c r="B10" s="42" t="s">
        <v>9</v>
      </c>
      <c r="C10" s="56">
        <v>1867.0500000000002</v>
      </c>
      <c r="D10" s="56">
        <f>SUMIF('บันทึกรายการ 63'!$B$7:$B$254,'Statement 63'!A10,'บันทึกรายการ 63'!$I$7:$I$254)</f>
        <v>0</v>
      </c>
      <c r="E10" s="56">
        <f>SUMIF('บันทึกรายการ 63'!$B$7:$B$254,'Statement 63'!A10,'บันทึกรายการ 63'!$J$7:$J$254)</f>
        <v>0</v>
      </c>
      <c r="F10" s="57">
        <f t="shared" si="0"/>
        <v>1867.0500000000002</v>
      </c>
      <c r="G10" s="56">
        <f>SUMIF('บันทึกรายการ 63'!$B$257:$B$467,'Statement 63'!A10,'บันทึกรายการ 63'!$I$257:$I$467)</f>
        <v>10000</v>
      </c>
      <c r="H10" s="56">
        <f>SUMIF('บันทึกรายการ 63'!$B$257:$B$467,'Statement 63'!A10,'บันทึกรายการ 63'!$J$257:$J$467)</f>
        <v>0</v>
      </c>
      <c r="I10" s="57">
        <f t="shared" si="1"/>
        <v>11867.05</v>
      </c>
      <c r="J10" s="56">
        <f>SUMIF('บันทึกรายการ 63'!$B$471:$B$647,'Statement 63'!A10,'บันทึกรายการ 63'!$I$471:$I$647)</f>
        <v>0</v>
      </c>
      <c r="K10" s="56">
        <f>SUMIF('บันทึกรายการ 63'!$B$471:$B$647,'Statement 63'!A10,'บันทึกรายการ 63'!$J$471:$J$647)</f>
        <v>10000</v>
      </c>
      <c r="L10" s="57">
        <f t="shared" si="2"/>
        <v>1867.0499999999993</v>
      </c>
      <c r="M10" s="56">
        <f>SUMIF('บันทึกรายการ 63'!$B$649:$B$819,'Statement 63'!A10,'บันทึกรายการ 63'!$I$649:$I$819)</f>
        <v>0</v>
      </c>
      <c r="N10" s="56">
        <f>SUMIF('บันทึกรายการ 63'!$B$649:$B$819,'Statement 63'!A10,'บันทึกรายการ 63'!$J$649:$J$819)</f>
        <v>0</v>
      </c>
      <c r="O10" s="57">
        <f t="shared" si="3"/>
        <v>1867.0499999999993</v>
      </c>
      <c r="P10" s="56">
        <f>SUMIF('บันทึกรายการ 63'!$B$822:$B$994,'Statement 63'!A10,'บันทึกรายการ 63'!$I$822:$I$994)</f>
        <v>0</v>
      </c>
      <c r="Q10" s="56">
        <f>SUMIF('บันทึกรายการ 63'!$B$822:$B$994,'Statement 63'!A10,'บันทึกรายการ 63'!$J$822:$J$994)</f>
        <v>10000</v>
      </c>
      <c r="R10" s="57">
        <f t="shared" si="4"/>
        <v>-8132.9500000000007</v>
      </c>
      <c r="S10" s="57">
        <f t="shared" si="5"/>
        <v>-8132.9500000000007</v>
      </c>
    </row>
    <row r="11" spans="1:19" ht="20.100000000000001" customHeight="1">
      <c r="A11" s="42" t="s">
        <v>10</v>
      </c>
      <c r="B11" s="42" t="s">
        <v>11</v>
      </c>
      <c r="C11" s="58">
        <v>19450</v>
      </c>
      <c r="D11" s="58">
        <f>SUMIF('บันทึกรายการ 63'!$B$7:$B$254,'Statement 63'!A11,'บันทึกรายการ 63'!$I$7:$I$254)</f>
        <v>0</v>
      </c>
      <c r="E11" s="58">
        <f>SUMIF('บันทึกรายการ 63'!$B$7:$B$254,'Statement 63'!A11,'บันทึกรายการ 63'!$J$7:$J$254)</f>
        <v>0</v>
      </c>
      <c r="F11" s="59">
        <f t="shared" si="0"/>
        <v>19450</v>
      </c>
      <c r="G11" s="58">
        <f>SUMIF('บันทึกรายการ 63'!$B$257:$B$467,'Statement 63'!A11,'บันทึกรายการ 63'!$I$257:$I$467)</f>
        <v>0</v>
      </c>
      <c r="H11" s="58">
        <f>SUMIF('บันทึกรายการ 63'!$B$257:$B$467,'Statement 63'!A11,'บันทึกรายการ 63'!$J$257:$J$467)</f>
        <v>0</v>
      </c>
      <c r="I11" s="59">
        <f t="shared" si="1"/>
        <v>19450</v>
      </c>
      <c r="J11" s="58">
        <f>SUMIF('บันทึกรายการ 63'!$B$471:$B$647,'Statement 63'!A11,'บันทึกรายการ 63'!$I$471:$I$647)</f>
        <v>0</v>
      </c>
      <c r="K11" s="58">
        <f>SUMIF('บันทึกรายการ 63'!$B$471:$B$647,'Statement 63'!A11,'บันทึกรายการ 63'!$J$471:$J$647)</f>
        <v>0</v>
      </c>
      <c r="L11" s="59">
        <f t="shared" si="2"/>
        <v>19450</v>
      </c>
      <c r="M11" s="58">
        <f>SUMIF('บันทึกรายการ 63'!$B$649:$B$819,'Statement 63'!A11,'บันทึกรายการ 63'!$I$649:$I$819)</f>
        <v>0</v>
      </c>
      <c r="N11" s="58">
        <f>SUMIF('บันทึกรายการ 63'!$B$649:$B$819,'Statement 63'!A11,'บันทึกรายการ 63'!$J$649:$J$819)</f>
        <v>0</v>
      </c>
      <c r="O11" s="59">
        <f t="shared" si="3"/>
        <v>19450</v>
      </c>
      <c r="P11" s="58">
        <f>SUMIF('บันทึกรายการ 63'!$B$822:$B$994,'Statement 63'!A11,'บันทึกรายการ 63'!$I$822:$I$994)</f>
        <v>0</v>
      </c>
      <c r="Q11" s="58">
        <f>SUMIF('บันทึกรายการ 63'!$B$822:$B$994,'Statement 63'!A11,'บันทึกรายการ 63'!$J$822:$J$994)</f>
        <v>0</v>
      </c>
      <c r="R11" s="59">
        <f t="shared" si="4"/>
        <v>19450</v>
      </c>
      <c r="S11" s="59">
        <f t="shared" si="5"/>
        <v>19450</v>
      </c>
    </row>
    <row r="12" spans="1:19" ht="20.100000000000001" customHeight="1" thickBot="1">
      <c r="B12" s="43" t="s">
        <v>987</v>
      </c>
      <c r="C12" s="69">
        <f>SUM(C5:C11)</f>
        <v>1336533.3000000003</v>
      </c>
      <c r="D12" s="69">
        <f t="shared" ref="D12:S12" si="6">SUM(D5:D11)</f>
        <v>236011.78999999998</v>
      </c>
      <c r="E12" s="69">
        <f t="shared" si="6"/>
        <v>170363.94999999998</v>
      </c>
      <c r="F12" s="69">
        <f t="shared" si="6"/>
        <v>1402181.1400000004</v>
      </c>
      <c r="G12" s="69">
        <f t="shared" si="6"/>
        <v>332004.69</v>
      </c>
      <c r="H12" s="69">
        <f t="shared" si="6"/>
        <v>339722</v>
      </c>
      <c r="I12" s="69">
        <f t="shared" si="6"/>
        <v>1394463.8300000003</v>
      </c>
      <c r="J12" s="69">
        <f t="shared" si="6"/>
        <v>58006.12</v>
      </c>
      <c r="K12" s="69">
        <f t="shared" si="6"/>
        <v>92803.66</v>
      </c>
      <c r="L12" s="69">
        <f t="shared" si="6"/>
        <v>1359666.2900000003</v>
      </c>
      <c r="M12" s="69">
        <f t="shared" si="6"/>
        <v>55806.409999999996</v>
      </c>
      <c r="N12" s="69">
        <f t="shared" si="6"/>
        <v>72258.09</v>
      </c>
      <c r="O12" s="69">
        <f t="shared" si="6"/>
        <v>1343214.6100000003</v>
      </c>
      <c r="P12" s="69">
        <f t="shared" si="6"/>
        <v>164104.46</v>
      </c>
      <c r="Q12" s="69">
        <f t="shared" si="6"/>
        <v>182553.68</v>
      </c>
      <c r="R12" s="69">
        <f t="shared" si="6"/>
        <v>1324765.3900000001</v>
      </c>
      <c r="S12" s="69">
        <f t="shared" si="6"/>
        <v>1324765.3900000001</v>
      </c>
    </row>
    <row r="13" spans="1:19" ht="20.100000000000001" customHeight="1">
      <c r="B13" s="43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1"/>
    </row>
    <row r="14" spans="1:19" ht="20.100000000000001" customHeight="1">
      <c r="A14" s="42" t="s">
        <v>12</v>
      </c>
      <c r="B14" s="42" t="s">
        <v>13</v>
      </c>
      <c r="C14" s="56">
        <v>0</v>
      </c>
      <c r="D14" s="56">
        <f>SUMIF('บันทึกรายการ 63'!$B$7:$B$254,'Statement 63'!A14,'บันทึกรายการ 63'!$I$7:$I$254)</f>
        <v>0</v>
      </c>
      <c r="E14" s="56">
        <f>SUMIF('บันทึกรายการ 63'!$B$7:$B$254,'Statement 63'!A14,'บันทึกรายการ 63'!$J$7:$J$254)</f>
        <v>0</v>
      </c>
      <c r="F14" s="57">
        <f>C14+E14-D14</f>
        <v>0</v>
      </c>
      <c r="G14" s="56">
        <f>SUMIF('บันทึกรายการ 63'!$B$257:$B$467,'Statement 63'!A14,'บันทึกรายการ 63'!$I$257:$I$467)</f>
        <v>0</v>
      </c>
      <c r="H14" s="56">
        <f>SUMIF('บันทึกรายการ 63'!$B$257:$B$467,'Statement 63'!A14,'บันทึกรายการ 63'!$J$257:$J$467)</f>
        <v>0</v>
      </c>
      <c r="I14" s="57">
        <f>F14+H14-G14</f>
        <v>0</v>
      </c>
      <c r="J14" s="56">
        <f>SUMIF('บันทึกรายการ 63'!$B$471:$B$647,'Statement 63'!A14,'บันทึกรายการ 63'!$I$471:$I$647)</f>
        <v>0</v>
      </c>
      <c r="K14" s="56">
        <f>SUMIF('บันทึกรายการ 63'!$B$471:$B$647,'Statement 63'!A14,'บันทึกรายการ 63'!$J$471:$J$647)</f>
        <v>0</v>
      </c>
      <c r="L14" s="57">
        <f>I14+K14-J14</f>
        <v>0</v>
      </c>
      <c r="M14" s="56">
        <f>SUMIF('บันทึกรายการ 63'!$B$649:$B$819,'Statement 63'!A14,'บันทึกรายการ 63'!$I$649:$I$819)</f>
        <v>0</v>
      </c>
      <c r="N14" s="56">
        <f>SUMIF('บันทึกรายการ 63'!$B$649:$B$819,'Statement 63'!A14,'บันทึกรายการ 63'!$J$649:$J$819)</f>
        <v>0</v>
      </c>
      <c r="O14" s="57">
        <f>L14+N14-M14</f>
        <v>0</v>
      </c>
      <c r="P14" s="56">
        <f>SUMIF('บันทึกรายการ 63'!$B$822:$B$994,'Statement 63'!A14,'บันทึกรายการ 63'!$I$822:$I$994)</f>
        <v>0</v>
      </c>
      <c r="Q14" s="56">
        <f>SUMIF('บันทึกรายการ 63'!$B$822:$B$994,'Statement 63'!A14,'บันทึกรายการ 63'!$J$822:$J$994)</f>
        <v>0</v>
      </c>
      <c r="R14" s="57">
        <f>O14+Q14-P14</f>
        <v>0</v>
      </c>
      <c r="S14" s="57">
        <f>R14</f>
        <v>0</v>
      </c>
    </row>
    <row r="15" spans="1:19" ht="20.100000000000001" customHeight="1">
      <c r="A15" s="42" t="s">
        <v>14</v>
      </c>
      <c r="B15" s="42" t="s">
        <v>15</v>
      </c>
      <c r="C15" s="56">
        <v>3000</v>
      </c>
      <c r="D15" s="56">
        <f>SUMIF('บันทึกรายการ 63'!$B$7:$B$254,'Statement 63'!A15,'บันทึกรายการ 63'!$I$7:$I$254)</f>
        <v>3000</v>
      </c>
      <c r="E15" s="56">
        <f>SUMIF('บันทึกรายการ 63'!$B$7:$B$254,'Statement 63'!A15,'บันทึกรายการ 63'!$J$7:$J$254)</f>
        <v>3000</v>
      </c>
      <c r="F15" s="57">
        <f t="shared" ref="F15:F24" si="7">C15+E15-D15</f>
        <v>3000</v>
      </c>
      <c r="G15" s="56">
        <f>SUMIF('บันทึกรายการ 63'!$B$257:$B$467,'Statement 63'!A15,'บันทึกรายการ 63'!$I$257:$I$467)</f>
        <v>3000</v>
      </c>
      <c r="H15" s="56">
        <f>SUMIF('บันทึกรายการ 63'!$B$257:$B$467,'Statement 63'!A15,'บันทึกรายการ 63'!$J$257:$J$467)</f>
        <v>3000</v>
      </c>
      <c r="I15" s="57">
        <f t="shared" ref="I15:I24" si="8">F15+H15-G15</f>
        <v>3000</v>
      </c>
      <c r="J15" s="56">
        <f>SUMIF('บันทึกรายการ 63'!$B$471:$B$647,'Statement 63'!A15,'บันทึกรายการ 63'!$I$471:$I$647)</f>
        <v>3000</v>
      </c>
      <c r="K15" s="56">
        <f>SUMIF('บันทึกรายการ 63'!$B$471:$B$647,'Statement 63'!A15,'บันทึกรายการ 63'!$J$471:$J$647)</f>
        <v>3000</v>
      </c>
      <c r="L15" s="57">
        <f t="shared" ref="L15:L24" si="9">I15+K15-J15</f>
        <v>3000</v>
      </c>
      <c r="M15" s="56">
        <f>SUMIF('บันทึกรายการ 63'!$B$649:$B$819,'Statement 63'!A15,'บันทึกรายการ 63'!$I$649:$I$819)</f>
        <v>3000</v>
      </c>
      <c r="N15" s="56">
        <f>SUMIF('บันทึกรายการ 63'!$B$649:$B$819,'Statement 63'!A15,'บันทึกรายการ 63'!$J$649:$J$819)</f>
        <v>3000</v>
      </c>
      <c r="O15" s="57">
        <f t="shared" ref="O15:O24" si="10">L15+N15-M15</f>
        <v>3000</v>
      </c>
      <c r="P15" s="56">
        <f>SUMIF('บันทึกรายการ 63'!$B$822:$B$994,'Statement 63'!A15,'บันทึกรายการ 63'!$I$822:$I$994)</f>
        <v>3000</v>
      </c>
      <c r="Q15" s="56">
        <f>SUMIF('บันทึกรายการ 63'!$B$822:$B$994,'Statement 63'!A15,'บันทึกรายการ 63'!$J$822:$J$994)</f>
        <v>3000</v>
      </c>
      <c r="R15" s="57">
        <f t="shared" ref="R15:R24" si="11">O15+Q15-P15</f>
        <v>3000</v>
      </c>
      <c r="S15" s="57">
        <f t="shared" ref="S15:S25" si="12">R15</f>
        <v>3000</v>
      </c>
    </row>
    <row r="16" spans="1:19" ht="20.100000000000001" customHeight="1">
      <c r="A16" s="42" t="s">
        <v>16</v>
      </c>
      <c r="B16" s="42" t="s">
        <v>17</v>
      </c>
      <c r="C16" s="56">
        <v>8500</v>
      </c>
      <c r="D16" s="56">
        <f>SUMIF('บันทึกรายการ 63'!$B$7:$B$254,'Statement 63'!A16,'บันทึกรายการ 63'!$I$7:$I$254)</f>
        <v>8500</v>
      </c>
      <c r="E16" s="56">
        <f>SUMIF('บันทึกรายการ 63'!$B$7:$B$254,'Statement 63'!A16,'บันทึกรายการ 63'!$J$7:$J$254)</f>
        <v>7500</v>
      </c>
      <c r="F16" s="57">
        <f t="shared" si="7"/>
        <v>7500</v>
      </c>
      <c r="G16" s="56">
        <f>SUMIF('บันทึกรายการ 63'!$B$257:$B$467,'Statement 63'!A16,'บันทึกรายการ 63'!$I$257:$I$467)</f>
        <v>7500</v>
      </c>
      <c r="H16" s="56">
        <f>SUMIF('บันทึกรายการ 63'!$B$257:$B$467,'Statement 63'!A16,'บันทึกรายการ 63'!$J$257:$J$467)</f>
        <v>7500</v>
      </c>
      <c r="I16" s="57">
        <f t="shared" si="8"/>
        <v>7500</v>
      </c>
      <c r="J16" s="56">
        <f>SUMIF('บันทึกรายการ 63'!$B$471:$B$647,'Statement 63'!A16,'บันทึกรายการ 63'!$I$471:$I$647)</f>
        <v>7500</v>
      </c>
      <c r="K16" s="56">
        <f>SUMIF('บันทึกรายการ 63'!$B$471:$B$647,'Statement 63'!A16,'บันทึกรายการ 63'!$J$471:$J$647)</f>
        <v>7500</v>
      </c>
      <c r="L16" s="57">
        <f t="shared" si="9"/>
        <v>7500</v>
      </c>
      <c r="M16" s="56">
        <f>SUMIF('บันทึกรายการ 63'!$B$649:$B$819,'Statement 63'!A16,'บันทึกรายการ 63'!$I$649:$I$819)</f>
        <v>7500</v>
      </c>
      <c r="N16" s="56">
        <f>SUMIF('บันทึกรายการ 63'!$B$649:$B$819,'Statement 63'!A16,'บันทึกรายการ 63'!$J$649:$J$819)</f>
        <v>0</v>
      </c>
      <c r="O16" s="57">
        <f t="shared" si="10"/>
        <v>0</v>
      </c>
      <c r="P16" s="56">
        <f>SUMIF('บันทึกรายการ 63'!$B$822:$B$994,'Statement 63'!A16,'บันทึกรายการ 63'!$I$822:$I$994)</f>
        <v>0</v>
      </c>
      <c r="Q16" s="56">
        <f>SUMIF('บันทึกรายการ 63'!$B$822:$B$994,'Statement 63'!A16,'บันทึกรายการ 63'!$J$822:$J$994)</f>
        <v>0</v>
      </c>
      <c r="R16" s="57">
        <f t="shared" si="11"/>
        <v>0</v>
      </c>
      <c r="S16" s="57">
        <f t="shared" si="12"/>
        <v>0</v>
      </c>
    </row>
    <row r="17" spans="1:19" ht="20.100000000000001" customHeight="1">
      <c r="A17" s="42" t="s">
        <v>18</v>
      </c>
      <c r="B17" s="42" t="s">
        <v>19</v>
      </c>
      <c r="C17" s="56">
        <v>38233.179999999993</v>
      </c>
      <c r="D17" s="56">
        <f>SUMIF('บันทึกรายการ 63'!$B$7:$B$254,'Statement 63'!A17,'บันทึกรายการ 63'!$I$7:$I$254)</f>
        <v>38233.18</v>
      </c>
      <c r="E17" s="56">
        <f>SUMIF('บันทึกรายการ 63'!$B$7:$B$254,'Statement 63'!A17,'บันทึกรายการ 63'!$J$7:$J$254)</f>
        <v>38233.18</v>
      </c>
      <c r="F17" s="57">
        <f t="shared" si="7"/>
        <v>38233.179999999986</v>
      </c>
      <c r="G17" s="56">
        <f>SUMIF('บันทึกรายการ 63'!$B$257:$B$467,'Statement 63'!A17,'บันทึกรายการ 63'!$I$257:$I$467)</f>
        <v>38233.18</v>
      </c>
      <c r="H17" s="56">
        <f>SUMIF('บันทึกรายการ 63'!$B$257:$B$467,'Statement 63'!A17,'บันทึกรายการ 63'!$J$257:$J$467)</f>
        <v>38814.32</v>
      </c>
      <c r="I17" s="57">
        <f t="shared" si="8"/>
        <v>38814.319999999985</v>
      </c>
      <c r="J17" s="56">
        <f>SUMIF('บันทึกรายการ 63'!$B$471:$B$647,'Statement 63'!A17,'บันทึกรายการ 63'!$I$471:$I$647)</f>
        <v>38814.32</v>
      </c>
      <c r="K17" s="56">
        <f>SUMIF('บันทึกรายการ 63'!$B$471:$B$647,'Statement 63'!A17,'บันทึกรายการ 63'!$J$471:$J$647)</f>
        <v>38814.32</v>
      </c>
      <c r="L17" s="57">
        <f t="shared" si="9"/>
        <v>38814.319999999985</v>
      </c>
      <c r="M17" s="56">
        <f>SUMIF('บันทึกรายการ 63'!$B$649:$B$819,'Statement 63'!A17,'บันทึกรายการ 63'!$I$649:$I$819)</f>
        <v>38814.32</v>
      </c>
      <c r="N17" s="56">
        <f>SUMIF('บันทึกรายการ 63'!$B$649:$B$819,'Statement 63'!A17,'บันทึกรายการ 63'!$J$649:$J$819)</f>
        <v>38814.32</v>
      </c>
      <c r="O17" s="57">
        <f t="shared" si="10"/>
        <v>38814.319999999985</v>
      </c>
      <c r="P17" s="56">
        <f>SUMIF('บันทึกรายการ 63'!$B$822:$B$994,'Statement 63'!A17,'บันทึกรายการ 63'!$I$822:$I$994)</f>
        <v>38814.32</v>
      </c>
      <c r="Q17" s="56">
        <f>SUMIF('บันทึกรายการ 63'!$B$822:$B$994,'Statement 63'!A17,'บันทึกรายการ 63'!$J$822:$J$994)</f>
        <v>38814.32</v>
      </c>
      <c r="R17" s="57">
        <f t="shared" si="11"/>
        <v>38814.319999999985</v>
      </c>
      <c r="S17" s="57">
        <f t="shared" si="12"/>
        <v>38814.319999999985</v>
      </c>
    </row>
    <row r="18" spans="1:19" ht="20.100000000000001" customHeight="1">
      <c r="A18" s="42" t="s">
        <v>20</v>
      </c>
      <c r="B18" s="42" t="s">
        <v>21</v>
      </c>
      <c r="C18" s="56">
        <v>3476.0600000000013</v>
      </c>
      <c r="D18" s="56">
        <f>SUMIF('บันทึกรายการ 63'!$B$7:$B$254,'Statement 63'!A18,'บันทึกรายการ 63'!$I$7:$I$254)</f>
        <v>3476.06</v>
      </c>
      <c r="E18" s="56">
        <f>SUMIF('บันทึกรายการ 63'!$B$7:$B$254,'Statement 63'!A18,'บันทึกรายการ 63'!$J$7:$J$254)</f>
        <v>4863.82</v>
      </c>
      <c r="F18" s="57">
        <f t="shared" si="7"/>
        <v>4863.8200000000015</v>
      </c>
      <c r="G18" s="56">
        <f>SUMIF('บันทึกรายการ 63'!$B$257:$B$467,'Statement 63'!A18,'บันทึกรายการ 63'!$I$257:$I$467)</f>
        <v>4863.82</v>
      </c>
      <c r="H18" s="56">
        <f>SUMIF('บันทึกรายการ 63'!$B$257:$B$467,'Statement 63'!A18,'บันทึกรายการ 63'!$J$257:$J$467)</f>
        <v>5769.34</v>
      </c>
      <c r="I18" s="57">
        <f t="shared" si="8"/>
        <v>5769.340000000002</v>
      </c>
      <c r="J18" s="56">
        <f>SUMIF('บันทึกรายการ 63'!$B$471:$B$647,'Statement 63'!A18,'บันทึกรายการ 63'!$I$471:$I$647)</f>
        <v>5769.34</v>
      </c>
      <c r="K18" s="56">
        <f>SUMIF('บันทึกรายการ 63'!$B$471:$B$647,'Statement 63'!A18,'บันทึกรายการ 63'!$J$471:$J$647)</f>
        <v>6231.77</v>
      </c>
      <c r="L18" s="57">
        <f t="shared" si="9"/>
        <v>6231.7700000000023</v>
      </c>
      <c r="M18" s="56">
        <f>SUMIF('บันทึกรายการ 63'!$B$649:$B$819,'Statement 63'!A18,'บันทึกรายการ 63'!$I$649:$I$819)</f>
        <v>6231.77</v>
      </c>
      <c r="N18" s="56">
        <f>SUMIF('บันทึกรายการ 63'!$B$649:$B$819,'Statement 63'!A18,'บันทึกรายการ 63'!$J$649:$J$819)</f>
        <v>5777.06</v>
      </c>
      <c r="O18" s="57">
        <f t="shared" si="10"/>
        <v>5777.0600000000013</v>
      </c>
      <c r="P18" s="56">
        <f>SUMIF('บันทึกรายการ 63'!$B$822:$B$994,'Statement 63'!A18,'บันทึกรายการ 63'!$I$822:$I$994)</f>
        <v>5777.06</v>
      </c>
      <c r="Q18" s="56">
        <f>SUMIF('บันทึกรายการ 63'!$B$822:$B$994,'Statement 63'!A18,'บันทึกรายการ 63'!$J$822:$J$994)</f>
        <v>4930.58</v>
      </c>
      <c r="R18" s="57">
        <f t="shared" si="11"/>
        <v>4930.5800000000008</v>
      </c>
      <c r="S18" s="57">
        <f t="shared" si="12"/>
        <v>4930.5800000000008</v>
      </c>
    </row>
    <row r="19" spans="1:19" ht="20.100000000000001" customHeight="1">
      <c r="A19" s="42" t="s">
        <v>22</v>
      </c>
      <c r="B19" s="42" t="s">
        <v>23</v>
      </c>
      <c r="C19" s="56">
        <v>15000</v>
      </c>
      <c r="D19" s="56">
        <f>SUMIF('บันทึกรายการ 63'!$B$7:$B$254,'Statement 63'!A19,'บันทึกรายการ 63'!$I$7:$I$254)</f>
        <v>15000</v>
      </c>
      <c r="E19" s="56">
        <f>SUMIF('บันทึกรายการ 63'!$B$7:$B$254,'Statement 63'!A19,'บันทึกรายการ 63'!$J$7:$J$254)</f>
        <v>15000</v>
      </c>
      <c r="F19" s="57">
        <f t="shared" si="7"/>
        <v>15000</v>
      </c>
      <c r="G19" s="56">
        <f>SUMIF('บันทึกรายการ 63'!$B$257:$B$467,'Statement 63'!A19,'บันทึกรายการ 63'!$I$257:$I$467)</f>
        <v>15000</v>
      </c>
      <c r="H19" s="56">
        <f>SUMIF('บันทึกรายการ 63'!$B$257:$B$467,'Statement 63'!A19,'บันทึกรายการ 63'!$J$257:$J$467)</f>
        <v>15000</v>
      </c>
      <c r="I19" s="57">
        <f t="shared" si="8"/>
        <v>15000</v>
      </c>
      <c r="J19" s="56">
        <f>SUMIF('บันทึกรายการ 63'!$B$471:$B$647,'Statement 63'!A19,'บันทึกรายการ 63'!$I$471:$I$647)</f>
        <v>15000</v>
      </c>
      <c r="K19" s="56">
        <f>SUMIF('บันทึกรายการ 63'!$B$471:$B$647,'Statement 63'!A19,'บันทึกรายการ 63'!$J$471:$J$647)</f>
        <v>15000</v>
      </c>
      <c r="L19" s="57">
        <f t="shared" si="9"/>
        <v>15000</v>
      </c>
      <c r="M19" s="56">
        <f>SUMIF('บันทึกรายการ 63'!$B$649:$B$819,'Statement 63'!A19,'บันทึกรายการ 63'!$I$649:$I$819)</f>
        <v>15000</v>
      </c>
      <c r="N19" s="56">
        <f>SUMIF('บันทึกรายการ 63'!$B$649:$B$819,'Statement 63'!A19,'บันทึกรายการ 63'!$J$649:$J$819)</f>
        <v>15000</v>
      </c>
      <c r="O19" s="57">
        <f t="shared" si="10"/>
        <v>15000</v>
      </c>
      <c r="P19" s="56">
        <f>SUMIF('บันทึกรายการ 63'!$B$822:$B$994,'Statement 63'!A19,'บันทึกรายการ 63'!$I$822:$I$994)</f>
        <v>15000</v>
      </c>
      <c r="Q19" s="56">
        <f>SUMIF('บันทึกรายการ 63'!$B$822:$B$994,'Statement 63'!A19,'บันทึกรายการ 63'!$J$822:$J$994)</f>
        <v>15000</v>
      </c>
      <c r="R19" s="57">
        <f t="shared" si="11"/>
        <v>15000</v>
      </c>
      <c r="S19" s="57">
        <f t="shared" si="12"/>
        <v>15000</v>
      </c>
    </row>
    <row r="20" spans="1:19" ht="20.100000000000001" customHeight="1">
      <c r="A20" s="42" t="s">
        <v>394</v>
      </c>
      <c r="B20" s="42" t="s">
        <v>395</v>
      </c>
      <c r="C20" s="56">
        <v>600</v>
      </c>
      <c r="D20" s="56">
        <f>SUMIF('บันทึกรายการ 63'!$B$7:$B$254,'Statement 63'!A20,'บันทึกรายการ 63'!$I$7:$I$254)</f>
        <v>0</v>
      </c>
      <c r="E20" s="56">
        <f>SUMIF('บันทึกรายการ 63'!$B$7:$B$254,'Statement 63'!A20,'บันทึกรายการ 63'!$J$7:$J$254)</f>
        <v>0</v>
      </c>
      <c r="F20" s="57">
        <f t="shared" si="7"/>
        <v>600</v>
      </c>
      <c r="G20" s="56">
        <f>SUMIF('บันทึกรายการ 63'!$B$257:$B$467,'Statement 63'!A20,'บันทึกรายการ 63'!$I$257:$I$467)</f>
        <v>0</v>
      </c>
      <c r="H20" s="56">
        <f>SUMIF('บันทึกรายการ 63'!$B$257:$B$467,'Statement 63'!A20,'บันทึกรายการ 63'!$J$257:$J$467)</f>
        <v>200</v>
      </c>
      <c r="I20" s="57">
        <f t="shared" si="8"/>
        <v>800</v>
      </c>
      <c r="J20" s="56">
        <f>SUMIF('บันทึกรายการ 63'!$B$471:$B$647,'Statement 63'!A20,'บันทึกรายการ 63'!$I$471:$I$647)</f>
        <v>0</v>
      </c>
      <c r="K20" s="56">
        <f>SUMIF('บันทึกรายการ 63'!$B$471:$B$647,'Statement 63'!A20,'บันทึกรายการ 63'!$J$471:$J$647)</f>
        <v>0</v>
      </c>
      <c r="L20" s="57">
        <f t="shared" si="9"/>
        <v>800</v>
      </c>
      <c r="M20" s="56">
        <f>SUMIF('บันทึกรายการ 63'!$B$649:$B$819,'Statement 63'!A20,'บันทึกรายการ 63'!$I$649:$I$819)</f>
        <v>0</v>
      </c>
      <c r="N20" s="56">
        <f>SUMIF('บันทึกรายการ 63'!$B$649:$B$819,'Statement 63'!A20,'บันทึกรายการ 63'!$J$649:$J$819)</f>
        <v>0</v>
      </c>
      <c r="O20" s="57">
        <f t="shared" si="10"/>
        <v>800</v>
      </c>
      <c r="P20" s="56">
        <f>SUMIF('บันทึกรายการ 63'!$B$822:$B$994,'Statement 63'!A20,'บันทึกรายการ 63'!$I$822:$I$994)</f>
        <v>0</v>
      </c>
      <c r="Q20" s="56">
        <f>SUMIF('บันทึกรายการ 63'!$B$822:$B$994,'Statement 63'!A20,'บันทึกรายการ 63'!$J$822:$J$994)</f>
        <v>0</v>
      </c>
      <c r="R20" s="57">
        <f t="shared" si="11"/>
        <v>800</v>
      </c>
      <c r="S20" s="57">
        <f t="shared" si="12"/>
        <v>800</v>
      </c>
    </row>
    <row r="21" spans="1:19" ht="20.100000000000001" customHeight="1">
      <c r="A21" s="42" t="s">
        <v>24</v>
      </c>
      <c r="B21" s="42" t="s">
        <v>25</v>
      </c>
      <c r="C21" s="56">
        <v>32125</v>
      </c>
      <c r="D21" s="56">
        <f>SUMIF('บันทึกรายการ 63'!$B$7:$B$254,'Statement 63'!A21,'บันทึกรายการ 63'!$I$7:$I$254)</f>
        <v>0</v>
      </c>
      <c r="E21" s="56">
        <f>SUMIF('บันทึกรายการ 63'!$B$7:$B$254,'Statement 63'!A21,'บันทึกรายการ 63'!$J$7:$J$254)</f>
        <v>0</v>
      </c>
      <c r="F21" s="57">
        <f>C21+E21-D21</f>
        <v>32125</v>
      </c>
      <c r="G21" s="56">
        <f>SUMIF('บันทึกรายการ 63'!$B$257:$B$467,'Statement 63'!A21,'บันทึกรายการ 63'!$I$257:$I$467)</f>
        <v>30125</v>
      </c>
      <c r="H21" s="56">
        <f>SUMIF('บันทึกรายการ 63'!$B$257:$B$467,'Statement 63'!A21,'บันทึกรายการ 63'!$J$257:$J$467)</f>
        <v>0</v>
      </c>
      <c r="I21" s="57">
        <f t="shared" si="8"/>
        <v>2000</v>
      </c>
      <c r="J21" s="56">
        <f>SUMIF('บันทึกรายการ 63'!$B$471:$B$647,'Statement 63'!A21,'บันทึกรายการ 63'!$I$471:$I$647)</f>
        <v>2000</v>
      </c>
      <c r="K21" s="56">
        <f>SUMIF('บันทึกรายการ 63'!$B$471:$B$647,'Statement 63'!A21,'บันทึกรายการ 63'!$J$471:$J$647)</f>
        <v>0</v>
      </c>
      <c r="L21" s="57">
        <f t="shared" si="9"/>
        <v>0</v>
      </c>
      <c r="M21" s="56">
        <f>SUMIF('บันทึกรายการ 63'!$B$649:$B$819,'Statement 63'!A21,'บันทึกรายการ 63'!$I$649:$I$819)</f>
        <v>0</v>
      </c>
      <c r="N21" s="56">
        <f>SUMIF('บันทึกรายการ 63'!$B$649:$B$819,'Statement 63'!A21,'บันทึกรายการ 63'!$J$649:$J$819)</f>
        <v>0</v>
      </c>
      <c r="O21" s="57">
        <f t="shared" si="10"/>
        <v>0</v>
      </c>
      <c r="P21" s="56">
        <f>SUMIF('บันทึกรายการ 63'!$B$822:$B$994,'Statement 63'!A21,'บันทึกรายการ 63'!$I$822:$I$994)</f>
        <v>0</v>
      </c>
      <c r="Q21" s="56">
        <f>SUMIF('บันทึกรายการ 63'!$B$822:$B$994,'Statement 63'!A21,'บันทึกรายการ 63'!$J$822:$J$994)</f>
        <v>0</v>
      </c>
      <c r="R21" s="57">
        <f t="shared" si="11"/>
        <v>0</v>
      </c>
      <c r="S21" s="57">
        <f t="shared" si="12"/>
        <v>0</v>
      </c>
    </row>
    <row r="22" spans="1:19" ht="20.100000000000001" customHeight="1">
      <c r="A22" s="70" t="s">
        <v>26</v>
      </c>
      <c r="B22" s="70" t="s">
        <v>27</v>
      </c>
      <c r="C22" s="56">
        <v>34200</v>
      </c>
      <c r="D22" s="56">
        <f>SUMIF('บันทึกรายการ 63'!$B$7:$B$254,'Statement 63'!A22,'บันทึกรายการ 63'!$I$7:$I$254)</f>
        <v>0</v>
      </c>
      <c r="E22" s="56">
        <f>SUMIF('บันทึกรายการ 63'!$B$7:$B$254,'Statement 63'!A22,'บันทึกรายการ 63'!$J$7:$J$254)</f>
        <v>600</v>
      </c>
      <c r="F22" s="57">
        <f t="shared" si="7"/>
        <v>34800</v>
      </c>
      <c r="G22" s="56">
        <f>SUMIF('บันทึกรายการ 63'!$B$257:$B$467,'Statement 63'!A22,'บันทึกรายการ 63'!$I$257:$I$467)</f>
        <v>0</v>
      </c>
      <c r="H22" s="56">
        <f>SUMIF('บันทึกรายการ 63'!$B$257:$B$467,'Statement 63'!A22,'บันทึกรายการ 63'!$J$257:$J$467)</f>
        <v>4200</v>
      </c>
      <c r="I22" s="57">
        <f t="shared" si="8"/>
        <v>39000</v>
      </c>
      <c r="J22" s="56">
        <f>SUMIF('บันทึกรายการ 63'!$B$471:$B$647,'Statement 63'!A22,'บันทึกรายการ 63'!$I$471:$I$647)</f>
        <v>0</v>
      </c>
      <c r="K22" s="56">
        <f>SUMIF('บันทึกรายการ 63'!$B$471:$B$647,'Statement 63'!A22,'บันทึกรายการ 63'!$J$471:$J$647)</f>
        <v>600</v>
      </c>
      <c r="L22" s="57">
        <f t="shared" si="9"/>
        <v>39600</v>
      </c>
      <c r="M22" s="56">
        <f>SUMIF('บันทึกรายการ 63'!$B$649:$B$819,'Statement 63'!A22,'บันทึกรายการ 63'!$I$649:$I$819)</f>
        <v>0</v>
      </c>
      <c r="N22" s="56">
        <f>SUMIF('บันทึกรายการ 63'!$B$649:$B$819,'Statement 63'!A22,'บันทึกรายการ 63'!$J$649:$J$819)</f>
        <v>3000</v>
      </c>
      <c r="O22" s="57">
        <f t="shared" si="10"/>
        <v>42600</v>
      </c>
      <c r="P22" s="56">
        <f>SUMIF('บันทึกรายการ 63'!$B$822:$B$994,'Statement 63'!A22,'บันทึกรายการ 63'!$I$822:$I$994)</f>
        <v>0</v>
      </c>
      <c r="Q22" s="56">
        <f>SUMIF('บันทึกรายการ 63'!$B$822:$B$994,'Statement 63'!A22,'บันทึกรายการ 63'!$J$822:$J$994)</f>
        <v>10800</v>
      </c>
      <c r="R22" s="57">
        <f t="shared" si="11"/>
        <v>53400</v>
      </c>
      <c r="S22" s="57">
        <f t="shared" si="12"/>
        <v>53400</v>
      </c>
    </row>
    <row r="23" spans="1:19" ht="20.100000000000001" customHeight="1">
      <c r="A23" s="42" t="s">
        <v>28</v>
      </c>
      <c r="B23" s="42" t="s">
        <v>29</v>
      </c>
      <c r="C23" s="56">
        <v>8100</v>
      </c>
      <c r="D23" s="56">
        <f>SUMIF('บันทึกรายการ 63'!$B$7:$B$254,'Statement 63'!A23,'บันทึกรายการ 63'!$I$7:$I$254)</f>
        <v>0</v>
      </c>
      <c r="E23" s="56">
        <f>SUMIF('บันทึกรายการ 63'!$B$7:$B$254,'Statement 63'!A23,'บันทึกรายการ 63'!$J$7:$J$254)</f>
        <v>0</v>
      </c>
      <c r="F23" s="57">
        <f t="shared" si="7"/>
        <v>8100</v>
      </c>
      <c r="G23" s="56">
        <f>SUMIF('บันทึกรายการ 63'!$B$257:$B$467,'Statement 63'!A23,'บันทึกรายการ 63'!$I$257:$I$467)</f>
        <v>0</v>
      </c>
      <c r="H23" s="56">
        <f>SUMIF('บันทึกรายการ 63'!$B$257:$B$467,'Statement 63'!A23,'บันทึกรายการ 63'!$J$257:$J$467)</f>
        <v>0</v>
      </c>
      <c r="I23" s="57">
        <f t="shared" si="8"/>
        <v>8100</v>
      </c>
      <c r="J23" s="56">
        <f>SUMIF('บันทึกรายการ 63'!$B$471:$B$647,'Statement 63'!A23,'บันทึกรายการ 63'!$I$471:$I$647)</f>
        <v>0</v>
      </c>
      <c r="K23" s="56">
        <f>SUMIF('บันทึกรายการ 63'!$B$471:$B$647,'Statement 63'!A23,'บันทึกรายการ 63'!$J$471:$J$647)</f>
        <v>0</v>
      </c>
      <c r="L23" s="57">
        <f t="shared" si="9"/>
        <v>8100</v>
      </c>
      <c r="M23" s="56">
        <f>SUMIF('บันทึกรายการ 63'!$B$649:$B$819,'Statement 63'!A23,'บันทึกรายการ 63'!$I$649:$I$819)</f>
        <v>0</v>
      </c>
      <c r="N23" s="56">
        <f>SUMIF('บันทึกรายการ 63'!$B$649:$B$819,'Statement 63'!A23,'บันทึกรายการ 63'!$J$649:$J$819)</f>
        <v>0</v>
      </c>
      <c r="O23" s="57">
        <f t="shared" si="10"/>
        <v>8100</v>
      </c>
      <c r="P23" s="56">
        <f>SUMIF('บันทึกรายการ 63'!$B$822:$B$994,'Statement 63'!A23,'บันทึกรายการ 63'!$I$822:$I$994)</f>
        <v>0</v>
      </c>
      <c r="Q23" s="56">
        <f>SUMIF('บันทึกรายการ 63'!$B$822:$B$994,'Statement 63'!A23,'บันทึกรายการ 63'!$J$822:$J$994)</f>
        <v>0</v>
      </c>
      <c r="R23" s="57">
        <f t="shared" si="11"/>
        <v>8100</v>
      </c>
      <c r="S23" s="57">
        <f t="shared" si="12"/>
        <v>8100</v>
      </c>
    </row>
    <row r="24" spans="1:19" ht="20.100000000000001" customHeight="1">
      <c r="A24" s="42" t="s">
        <v>30</v>
      </c>
      <c r="B24" s="42" t="s">
        <v>31</v>
      </c>
      <c r="C24" s="56">
        <v>1057329</v>
      </c>
      <c r="D24" s="56">
        <f>SUMIF('บันทึกรายการ 63'!$B$7:$B$254,'Statement 63'!A24,'บันทึกรายการ 63'!$I$7:$I$254)</f>
        <v>0</v>
      </c>
      <c r="E24" s="56">
        <f>SUMIF('บันทึกรายการ 63'!$B$7:$B$254,'Statement 63'!A24,'บันทึกรายการ 63'!$J$7:$J$254)</f>
        <v>0</v>
      </c>
      <c r="F24" s="57">
        <f t="shared" si="7"/>
        <v>1057329</v>
      </c>
      <c r="G24" s="56">
        <f>SUMIF('บันทึกรายการ 63'!$B$257:$B$467,'Statement 63'!A24,'บันทึกรายการ 63'!$I$257:$I$467)</f>
        <v>0</v>
      </c>
      <c r="H24" s="56">
        <f>SUMIF('บันทึกรายการ 63'!$B$257:$B$467,'Statement 63'!A24,'บันทึกรายการ 63'!$J$257:$J$467)</f>
        <v>0</v>
      </c>
      <c r="I24" s="57">
        <f t="shared" si="8"/>
        <v>1057329</v>
      </c>
      <c r="J24" s="56">
        <f>SUMIF('บันทึกรายการ 63'!$B$471:$B$647,'Statement 63'!A24,'บันทึกรายการ 63'!$I$471:$I$647)</f>
        <v>0</v>
      </c>
      <c r="K24" s="56">
        <f>SUMIF('บันทึกรายการ 63'!$B$471:$B$647,'Statement 63'!A24,'บันทึกรายการ 63'!$J$471:$J$647)</f>
        <v>0</v>
      </c>
      <c r="L24" s="57">
        <f t="shared" si="9"/>
        <v>1057329</v>
      </c>
      <c r="M24" s="56">
        <f>SUMIF('บันทึกรายการ 63'!$B$649:$B$819,'Statement 63'!A24,'บันทึกรายการ 63'!$I$649:$I$819)</f>
        <v>0</v>
      </c>
      <c r="N24" s="56">
        <f>SUMIF('บันทึกรายการ 63'!$B$649:$B$819,'Statement 63'!A24,'บันทึกรายการ 63'!$J$649:$J$819)</f>
        <v>0</v>
      </c>
      <c r="O24" s="57">
        <f t="shared" si="10"/>
        <v>1057329</v>
      </c>
      <c r="P24" s="56">
        <f>SUMIF('บันทึกรายการ 63'!$B$822:$B$994,'Statement 63'!A24,'บันทึกรายการ 63'!$I$822:$I$994)</f>
        <v>0</v>
      </c>
      <c r="Q24" s="56">
        <f>SUMIF('บันทึกรายการ 63'!$B$822:$B$994,'Statement 63'!A24,'บันทึกรายการ 63'!$J$822:$J$994)</f>
        <v>0</v>
      </c>
      <c r="R24" s="57">
        <f t="shared" si="11"/>
        <v>1057329</v>
      </c>
      <c r="S24" s="57">
        <f t="shared" si="12"/>
        <v>1057329</v>
      </c>
    </row>
    <row r="25" spans="1:19" ht="20.100000000000001" customHeight="1">
      <c r="A25" s="42" t="s">
        <v>32</v>
      </c>
      <c r="B25" s="42" t="s">
        <v>33</v>
      </c>
      <c r="C25" s="56">
        <v>135970.06</v>
      </c>
      <c r="D25" s="56">
        <f>SUMIF('บันทึกรายการ 63'!$B$7:$B$254,'Statement 63'!A25,'บันทึกรายการ 63'!$I$7:$I$254)</f>
        <v>0</v>
      </c>
      <c r="E25" s="56">
        <f>SUMIF('บันทึกรายการ 63'!$B$7:$B$254,'Statement 63'!A25,'บันทึกรายการ 63'!$J$7:$J$254)</f>
        <v>0</v>
      </c>
      <c r="F25" s="57">
        <f>C25+E25-D25+F49</f>
        <v>200630.13999999998</v>
      </c>
      <c r="G25" s="56">
        <f>SUMIF('บันทึกรายการ 63'!$B$257:$B$467,'Statement 63'!A25,'บันทึกรายการ 63'!$I$257:$I$467)</f>
        <v>0</v>
      </c>
      <c r="H25" s="56">
        <f>SUMIF('บันทึกรายการ 63'!$B$257:$B$467,'Statement 63'!A25,'บันทึกรายการ 63'!$J$257:$J$467)</f>
        <v>0</v>
      </c>
      <c r="I25" s="57">
        <f>F25+H25-G25+I49</f>
        <v>217151.16999999995</v>
      </c>
      <c r="J25" s="56">
        <f>SUMIF('บันทึกรายการ 63'!$B$471:$B$647,'Statement 63'!A25,'บันทึกรายการ 63'!$I$471:$I$647)</f>
        <v>0</v>
      </c>
      <c r="K25" s="56">
        <f>SUMIF('บันทึกรายการ 63'!$B$471:$B$647,'Statement 63'!A25,'บันทึกรายการ 63'!$J$471:$J$647)</f>
        <v>0</v>
      </c>
      <c r="L25" s="57">
        <f>I25+K25-J25+L49</f>
        <v>183291.19999999995</v>
      </c>
      <c r="M25" s="56">
        <f>SUMIF('บันทึกรายการ 63'!$B$649:$B$819,'Statement 63'!A25,'บันทึกรายการ 63'!$I$649:$I$819)</f>
        <v>0</v>
      </c>
      <c r="N25" s="56">
        <f>SUMIF('บันทึกรายการ 63'!$B$649:$B$819,'Statement 63'!A25,'บันทึกรายการ 63'!$J$649:$J$819)</f>
        <v>0</v>
      </c>
      <c r="O25" s="57">
        <f>L25+N25-M25+O49</f>
        <v>171794.22999999995</v>
      </c>
      <c r="P25" s="56">
        <f>SUMIF('บันทึกรายการ 63'!$B$822:$B$994,'Statement 63'!A25,'บันทึกรายการ 63'!$I$822:$I$994)</f>
        <v>0</v>
      </c>
      <c r="Q25" s="56">
        <f>SUMIF('บันทึกรายการ 63'!$B$822:$B$994,'Statement 63'!A25,'บันทึกรายการ 63'!$J$822:$J$994)</f>
        <v>0</v>
      </c>
      <c r="R25" s="57">
        <f>O25+Q25-P25+R49</f>
        <v>143391.48999999996</v>
      </c>
      <c r="S25" s="57">
        <f t="shared" si="12"/>
        <v>143391.48999999996</v>
      </c>
    </row>
    <row r="26" spans="1:19" ht="20.100000000000001" customHeight="1" thickBot="1">
      <c r="B26" s="43" t="s">
        <v>988</v>
      </c>
      <c r="C26" s="62">
        <f>SUM(C14:C25)</f>
        <v>1336533.3</v>
      </c>
      <c r="D26" s="62">
        <f>SUM(D14:D25)</f>
        <v>68209.239999999991</v>
      </c>
      <c r="E26" s="62">
        <f t="shared" ref="E26:S26" si="13">SUM(E14:E25)</f>
        <v>69197</v>
      </c>
      <c r="F26" s="62">
        <f t="shared" si="13"/>
        <v>1402181.14</v>
      </c>
      <c r="G26" s="62">
        <f t="shared" si="13"/>
        <v>98722</v>
      </c>
      <c r="H26" s="62">
        <f t="shared" si="13"/>
        <v>74483.66</v>
      </c>
      <c r="I26" s="62">
        <f t="shared" si="13"/>
        <v>1394463.8299999998</v>
      </c>
      <c r="J26" s="62">
        <f t="shared" si="13"/>
        <v>72083.66</v>
      </c>
      <c r="K26" s="62">
        <f t="shared" si="13"/>
        <v>71146.09</v>
      </c>
      <c r="L26" s="62">
        <f t="shared" si="13"/>
        <v>1359666.29</v>
      </c>
      <c r="M26" s="62">
        <f t="shared" si="13"/>
        <v>70546.09</v>
      </c>
      <c r="N26" s="62">
        <f t="shared" si="13"/>
        <v>65591.38</v>
      </c>
      <c r="O26" s="62">
        <f t="shared" si="13"/>
        <v>1343214.6099999999</v>
      </c>
      <c r="P26" s="62">
        <f t="shared" si="13"/>
        <v>62591.38</v>
      </c>
      <c r="Q26" s="62">
        <f t="shared" si="13"/>
        <v>72544.899999999994</v>
      </c>
      <c r="R26" s="62">
        <f t="shared" si="13"/>
        <v>1324765.3899999999</v>
      </c>
      <c r="S26" s="62">
        <f t="shared" si="13"/>
        <v>1324765.3899999999</v>
      </c>
    </row>
    <row r="27" spans="1:19" ht="20.100000000000001" customHeight="1">
      <c r="B27" s="43"/>
      <c r="C27" s="63">
        <f>C26-C12</f>
        <v>0</v>
      </c>
      <c r="D27" s="63">
        <f t="shared" ref="D27:S27" si="14">D26-D12</f>
        <v>-167802.55</v>
      </c>
      <c r="E27" s="63">
        <f t="shared" si="14"/>
        <v>-101166.94999999998</v>
      </c>
      <c r="F27" s="63">
        <f t="shared" si="14"/>
        <v>0</v>
      </c>
      <c r="G27" s="63">
        <f t="shared" si="14"/>
        <v>-233282.69</v>
      </c>
      <c r="H27" s="63">
        <f t="shared" si="14"/>
        <v>-265238.33999999997</v>
      </c>
      <c r="I27" s="63">
        <f t="shared" si="14"/>
        <v>0</v>
      </c>
      <c r="J27" s="63">
        <f t="shared" si="14"/>
        <v>14077.54</v>
      </c>
      <c r="K27" s="63">
        <f t="shared" si="14"/>
        <v>-21657.570000000007</v>
      </c>
      <c r="L27" s="63">
        <f t="shared" si="14"/>
        <v>0</v>
      </c>
      <c r="M27" s="63">
        <f t="shared" si="14"/>
        <v>14739.68</v>
      </c>
      <c r="N27" s="63">
        <f t="shared" si="14"/>
        <v>-6666.7099999999919</v>
      </c>
      <c r="O27" s="63">
        <f t="shared" si="14"/>
        <v>0</v>
      </c>
      <c r="P27" s="63">
        <f t="shared" si="14"/>
        <v>-101513.07999999999</v>
      </c>
      <c r="Q27" s="63">
        <f t="shared" si="14"/>
        <v>-110008.78</v>
      </c>
      <c r="R27" s="63">
        <f t="shared" si="14"/>
        <v>0</v>
      </c>
      <c r="S27" s="63">
        <f t="shared" si="14"/>
        <v>0</v>
      </c>
    </row>
    <row r="28" spans="1:19" ht="20.100000000000001" customHeight="1">
      <c r="B28" s="43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55"/>
    </row>
    <row r="29" spans="1:19" ht="20.100000000000001" customHeight="1">
      <c r="B29" s="43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55"/>
    </row>
    <row r="30" spans="1:19" ht="20.100000000000001" customHeight="1">
      <c r="B30" s="51" t="s">
        <v>1002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</row>
    <row r="31" spans="1:19" ht="20.100000000000001" customHeight="1">
      <c r="A31" s="42" t="s">
        <v>34</v>
      </c>
      <c r="B31" s="42" t="s">
        <v>35</v>
      </c>
      <c r="C31" s="55"/>
      <c r="D31" s="56">
        <f>SUMIF('บันทึกรายการ 63'!$B$7:$B$254,'Statement 63'!A31,'บันทึกรายการ 63'!$I$7:$I$254)</f>
        <v>7200</v>
      </c>
      <c r="E31" s="56">
        <f>SUMIF('บันทึกรายการ 63'!$B$7:$B$254,'Statement 63'!A31,'บันทึกรายการ 63'!$J$7:$J$254)</f>
        <v>207809.47999999998</v>
      </c>
      <c r="F31" s="57">
        <f>E31-D31</f>
        <v>200609.47999999998</v>
      </c>
      <c r="G31" s="56">
        <f>SUMIF('บันทึกรายการ 63'!$B$257:$B$467,'Statement 63'!A31,'บันทึกรายการ 63'!$I$257:$I$467)</f>
        <v>0</v>
      </c>
      <c r="H31" s="56">
        <f>SUMIF('บันทึกรายการ 63'!$B$257:$B$467,'Statement 63'!A31,'บันทึกรายการ 63'!$J$257:$J$467)</f>
        <v>87404.689999999973</v>
      </c>
      <c r="I31" s="57">
        <f>H31-G31</f>
        <v>87404.689999999973</v>
      </c>
      <c r="J31" s="56">
        <f>SUMIF('บันทึกรายการ 63'!$B$471:$B$647,'Statement 63'!A31,'บันทึกรายการ 63'!$I$471:$I$647)</f>
        <v>0</v>
      </c>
      <c r="K31" s="56">
        <f>SUMIF('บันทึกรายการ 63'!$B$471:$B$647,'Statement 63'!A31,'บันทึกรายการ 63'!$J$471:$J$647)</f>
        <v>49604.12</v>
      </c>
      <c r="L31" s="57">
        <f>K31-J31</f>
        <v>49604.12</v>
      </c>
      <c r="M31" s="56">
        <f>SUMIF('บันทึกรายการ 63'!$B$649:$B$819,'Statement 63'!A31,'บันทึกรายการ 63'!$I$649:$I$819)</f>
        <v>0</v>
      </c>
      <c r="N31" s="56">
        <f>SUMIF('บันทึกรายการ 63'!$B$649:$B$819,'Statement 63'!A31,'บันทึกรายการ 63'!$J$649:$J$819)</f>
        <v>52806.409999999996</v>
      </c>
      <c r="O31" s="57">
        <f>N31-M31</f>
        <v>52806.409999999996</v>
      </c>
      <c r="P31" s="56">
        <f>SUMIF('บันทึกรายการ 63'!$B$822:$B$994,'Statement 63'!A31,'บันทึกรายการ 63'!$I$822:$I$994)</f>
        <v>0</v>
      </c>
      <c r="Q31" s="56">
        <f>SUMIF('บันทึกรายการ 63'!$B$822:$B$994,'Statement 63'!A31,'บันทึกรายการ 63'!$J$822:$J$994)</f>
        <v>48004.46</v>
      </c>
      <c r="R31" s="57">
        <f>Q31-P31</f>
        <v>48004.46</v>
      </c>
      <c r="S31" s="57">
        <f>F31+I31+L31+O31+R31</f>
        <v>438429.15999999992</v>
      </c>
    </row>
    <row r="32" spans="1:19" ht="20.100000000000001" customHeight="1">
      <c r="A32" s="42" t="s">
        <v>36</v>
      </c>
      <c r="B32" s="42" t="s">
        <v>37</v>
      </c>
      <c r="C32" s="55"/>
      <c r="D32" s="56">
        <f>SUMIF('บันทึกรายการ 63'!$B$7:$B$254,'Statement 63'!A32,'บันทึกรายการ 63'!$I$7:$I$254)</f>
        <v>0</v>
      </c>
      <c r="E32" s="56">
        <f>SUMIF('บันทึกรายการ 63'!$B$7:$B$254,'Statement 63'!A32,'บันทึกรายการ 63'!$J$7:$J$254)</f>
        <v>0</v>
      </c>
      <c r="F32" s="57">
        <f t="shared" ref="F32:F33" si="15">E32-D32</f>
        <v>0</v>
      </c>
      <c r="G32" s="56">
        <f>SUMIF('บันทึกรายการ 63'!$B$257:$B$467,'Statement 63'!A32,'บันทึกรายการ 63'!$I$257:$I$467)</f>
        <v>0</v>
      </c>
      <c r="H32" s="56">
        <f>SUMIF('บันทึกรายการ 63'!$B$257:$B$467,'Statement 63'!A32,'บันทึกรายการ 63'!$J$257:$J$467)</f>
        <v>0</v>
      </c>
      <c r="I32" s="57">
        <f t="shared" ref="I32:I33" si="16">H32-G32</f>
        <v>0</v>
      </c>
      <c r="J32" s="56">
        <f>SUMIF('บันทึกรายการ 63'!$B$471:$B$647,'Statement 63'!A32,'บันทึกรายการ 63'!$I$471:$I$647)</f>
        <v>0</v>
      </c>
      <c r="K32" s="56">
        <f>SUMIF('บันทึกรายการ 63'!$B$471:$B$647,'Statement 63'!A32,'บันทึกรายการ 63'!$J$471:$J$647)</f>
        <v>0</v>
      </c>
      <c r="L32" s="57">
        <f t="shared" ref="L32:L33" si="17">K32-J32</f>
        <v>0</v>
      </c>
      <c r="M32" s="56">
        <f>SUMIF('บันทึกรายการ 63'!$B$649:$B$819,'Statement 63'!A32,'บันทึกรายการ 63'!$I$649:$I$819)</f>
        <v>0</v>
      </c>
      <c r="N32" s="56">
        <f>SUMIF('บันทึกรายการ 63'!$B$649:$B$819,'Statement 63'!A32,'บันทึกรายการ 63'!$J$649:$J$819)</f>
        <v>0</v>
      </c>
      <c r="O32" s="57">
        <f t="shared" ref="O32:O33" si="18">N32-M32</f>
        <v>0</v>
      </c>
      <c r="P32" s="56">
        <f>SUMIF('บันทึกรายการ 63'!$B$822:$B$994,'Statement 63'!A32,'บันทึกรายการ 63'!$I$822:$I$994)</f>
        <v>0</v>
      </c>
      <c r="Q32" s="56">
        <f>SUMIF('บันทึกรายการ 63'!$B$822:$B$994,'Statement 63'!A32,'บันทึกรายการ 63'!$J$822:$J$994)</f>
        <v>0</v>
      </c>
      <c r="R32" s="57">
        <f t="shared" ref="R32:R33" si="19">Q32-P32</f>
        <v>0</v>
      </c>
      <c r="S32" s="57">
        <f t="shared" ref="S32:S33" si="20">F32+I32+L32+O32+R32</f>
        <v>0</v>
      </c>
    </row>
    <row r="33" spans="1:19" ht="20.100000000000001" customHeight="1">
      <c r="A33" s="42" t="s">
        <v>38</v>
      </c>
      <c r="B33" s="42" t="s">
        <v>39</v>
      </c>
      <c r="C33" s="55"/>
      <c r="D33" s="56">
        <f>SUMIF('บันทึกรายการ 63'!$B$7:$B$254,'Statement 63'!A33,'บันทึกรายการ 63'!$I$7:$I$254)</f>
        <v>0</v>
      </c>
      <c r="E33" s="56">
        <f>SUMIF('บันทึกรายการ 63'!$B$7:$B$254,'Statement 63'!A33,'บันทึกรายการ 63'!$J$7:$J$254)</f>
        <v>0</v>
      </c>
      <c r="F33" s="57">
        <f t="shared" si="15"/>
        <v>0</v>
      </c>
      <c r="G33" s="56">
        <f>SUMIF('บันทึกรายการ 63'!$B$257:$B$467,'Statement 63'!A33,'บันทึกรายการ 63'!$I$257:$I$467)</f>
        <v>0</v>
      </c>
      <c r="H33" s="56">
        <f>SUMIF('บันทึกรายการ 63'!$B$257:$B$467,'Statement 63'!A33,'บันทึกรายการ 63'!$J$257:$J$467)</f>
        <v>0</v>
      </c>
      <c r="I33" s="57">
        <f t="shared" si="16"/>
        <v>0</v>
      </c>
      <c r="J33" s="56">
        <f>SUMIF('บันทึกรายการ 63'!$B$471:$B$647,'Statement 63'!A33,'บันทึกรายการ 63'!$I$471:$I$647)</f>
        <v>0</v>
      </c>
      <c r="K33" s="56">
        <f>SUMIF('บันทึกรายการ 63'!$B$471:$B$647,'Statement 63'!A33,'บันทึกรายการ 63'!$J$471:$J$647)</f>
        <v>0</v>
      </c>
      <c r="L33" s="57">
        <f t="shared" si="17"/>
        <v>0</v>
      </c>
      <c r="M33" s="56">
        <f>SUMIF('บันทึกรายการ 63'!$B$649:$B$819,'Statement 63'!A33,'บันทึกรายการ 63'!$I$649:$I$819)</f>
        <v>0</v>
      </c>
      <c r="N33" s="56">
        <f>SUMIF('บันทึกรายการ 63'!$B$649:$B$819,'Statement 63'!A33,'บันทึกรายการ 63'!$J$649:$J$819)</f>
        <v>0</v>
      </c>
      <c r="O33" s="57">
        <f t="shared" si="18"/>
        <v>0</v>
      </c>
      <c r="P33" s="56">
        <f>SUMIF('บันทึกรายการ 63'!$B$822:$B$994,'Statement 63'!A33,'บันทึกรายการ 63'!$I$822:$I$994)</f>
        <v>0</v>
      </c>
      <c r="Q33" s="56">
        <f>SUMIF('บันทึกรายการ 63'!$B$822:$B$994,'Statement 63'!A33,'บันทึกรายการ 63'!$J$822:$J$994)</f>
        <v>0</v>
      </c>
      <c r="R33" s="57">
        <f t="shared" si="19"/>
        <v>0</v>
      </c>
      <c r="S33" s="57">
        <f t="shared" si="20"/>
        <v>0</v>
      </c>
    </row>
    <row r="34" spans="1:19" ht="20.100000000000001" customHeight="1" thickBot="1">
      <c r="C34" s="65">
        <f>SUM(C31:C33)</f>
        <v>0</v>
      </c>
      <c r="D34" s="65">
        <f t="shared" ref="D34:F34" si="21">SUM(D31:D33)</f>
        <v>7200</v>
      </c>
      <c r="E34" s="65">
        <f t="shared" si="21"/>
        <v>207809.47999999998</v>
      </c>
      <c r="F34" s="65">
        <f t="shared" si="21"/>
        <v>200609.47999999998</v>
      </c>
      <c r="G34" s="65">
        <f>SUM(G31:G33)</f>
        <v>0</v>
      </c>
      <c r="H34" s="65">
        <f t="shared" ref="H34:S34" si="22">SUM(H31:H33)</f>
        <v>87404.689999999973</v>
      </c>
      <c r="I34" s="65">
        <f t="shared" si="22"/>
        <v>87404.689999999973</v>
      </c>
      <c r="J34" s="65">
        <f t="shared" si="22"/>
        <v>0</v>
      </c>
      <c r="K34" s="65">
        <f t="shared" si="22"/>
        <v>49604.12</v>
      </c>
      <c r="L34" s="65">
        <f t="shared" si="22"/>
        <v>49604.12</v>
      </c>
      <c r="M34" s="65">
        <f t="shared" si="22"/>
        <v>0</v>
      </c>
      <c r="N34" s="65">
        <f t="shared" si="22"/>
        <v>52806.409999999996</v>
      </c>
      <c r="O34" s="65">
        <f t="shared" si="22"/>
        <v>52806.409999999996</v>
      </c>
      <c r="P34" s="65">
        <f t="shared" si="22"/>
        <v>0</v>
      </c>
      <c r="Q34" s="65">
        <f t="shared" si="22"/>
        <v>48004.46</v>
      </c>
      <c r="R34" s="65">
        <f t="shared" si="22"/>
        <v>48004.46</v>
      </c>
      <c r="S34" s="65">
        <f t="shared" si="22"/>
        <v>438429.15999999992</v>
      </c>
    </row>
    <row r="35" spans="1:19" ht="20.100000000000001" customHeight="1"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55"/>
    </row>
    <row r="36" spans="1:19" ht="20.100000000000001" customHeight="1">
      <c r="A36" s="42" t="s">
        <v>40</v>
      </c>
      <c r="B36" s="42" t="s">
        <v>41</v>
      </c>
      <c r="C36" s="55"/>
      <c r="D36" s="56">
        <f>SUMIF('บันทึกรายการ 63'!$B$7:$B$254,'Statement 63'!A36,'บันทึกรายการ 63'!$I$7:$I$254)</f>
        <v>0</v>
      </c>
      <c r="E36" s="56">
        <f>SUMIF('บันทึกรายการ 63'!$B$7:$B$254,'Statement 63'!A36,'บันทึกรายการ 63'!$J$7:$J$254)</f>
        <v>0</v>
      </c>
      <c r="F36" s="57">
        <f>D36-E36</f>
        <v>0</v>
      </c>
      <c r="G36" s="56">
        <f>SUMIF('บันทึกรายการ 63'!$B$257:$B$467,'Statement 63'!A36,'บันทึกรายการ 63'!$I$257:$I$467)</f>
        <v>0</v>
      </c>
      <c r="H36" s="56">
        <f>SUMIF('บันทึกรายการ 63'!$B$257:$B$467,'Statement 63'!A36,'บันทึกรายการ 63'!$J$257:$J$467)</f>
        <v>0</v>
      </c>
      <c r="I36" s="57">
        <f>G36-H36</f>
        <v>0</v>
      </c>
      <c r="J36" s="56">
        <f>SUMIF('บันทึกรายการ 63'!$B$471:$B$647,'Statement 63'!A36,'บันทึกรายการ 63'!$I$471:$I$647)</f>
        <v>0</v>
      </c>
      <c r="K36" s="56">
        <f>SUMIF('บันทึกรายการ 63'!$B$471:$B$647,'Statement 63'!A36,'บันทึกรายการ 63'!$J$471:$J$647)</f>
        <v>0</v>
      </c>
      <c r="L36" s="57">
        <f>J36-K36</f>
        <v>0</v>
      </c>
      <c r="M36" s="56">
        <f>SUMIF('บันทึกรายการ 63'!$B$649:$B$819,'Statement 63'!A36,'บันทึกรายการ 63'!$I$649:$I$819)</f>
        <v>0</v>
      </c>
      <c r="N36" s="56">
        <f>SUMIF('บันทึกรายการ 63'!$B$649:$B$819,'Statement 63'!A36,'บันทึกรายการ 63'!$J$649:$J$819)</f>
        <v>0</v>
      </c>
      <c r="O36" s="57">
        <f>M36-N36</f>
        <v>0</v>
      </c>
      <c r="P36" s="56">
        <f>SUMIF('บันทึกรายการ 63'!$B$822:$B$994,'Statement 63'!A36,'บันทึกรายการ 63'!$I$822:$I$994)</f>
        <v>0</v>
      </c>
      <c r="Q36" s="56">
        <f>SUMIF('บันทึกรายการ 63'!$B$822:$B$994,'Statement 63'!A36,'บันทึกรายการ 63'!$J$822:$J$994)</f>
        <v>0</v>
      </c>
      <c r="R36" s="57">
        <f>P36-Q36</f>
        <v>0</v>
      </c>
      <c r="S36" s="57">
        <f>F36+I36+L36+O36+R36</f>
        <v>0</v>
      </c>
    </row>
    <row r="37" spans="1:19" ht="20.100000000000001" customHeight="1">
      <c r="A37" s="42" t="s">
        <v>42</v>
      </c>
      <c r="B37" s="42" t="s">
        <v>43</v>
      </c>
      <c r="C37" s="55"/>
      <c r="D37" s="56">
        <f>SUMIF('บันทึกรายการ 63'!$B$7:$B$254,'Statement 63'!A37,'บันทึกรายการ 63'!$I$7:$I$254)</f>
        <v>67352.399999999994</v>
      </c>
      <c r="E37" s="56">
        <f>SUMIF('บันทึกรายการ 63'!$B$7:$B$254,'Statement 63'!A37,'บันทึกรายการ 63'!$J$7:$J$254)</f>
        <v>0</v>
      </c>
      <c r="F37" s="57">
        <f t="shared" ref="F37:F47" si="23">D37-E37</f>
        <v>67352.399999999994</v>
      </c>
      <c r="G37" s="56">
        <f>SUMIF('บันทึกรายการ 63'!$B$257:$B$467,'Statement 63'!A37,'บันทึกรายการ 63'!$I$257:$I$467)</f>
        <v>0</v>
      </c>
      <c r="H37" s="56">
        <f>SUMIF('บันทึกรายการ 63'!$B$257:$B$467,'Statement 63'!A37,'บันทึกรายการ 63'!$J$257:$J$467)</f>
        <v>0</v>
      </c>
      <c r="I37" s="57">
        <f t="shared" ref="I37:I47" si="24">G37-H37</f>
        <v>0</v>
      </c>
      <c r="J37" s="56">
        <f>SUMIF('บันทึกรายการ 63'!$B$471:$B$647,'Statement 63'!A37,'บันทึกรายการ 63'!$I$471:$I$647)</f>
        <v>0</v>
      </c>
      <c r="K37" s="56">
        <f>SUMIF('บันทึกรายการ 63'!$B$471:$B$647,'Statement 63'!A37,'บันทึกรายการ 63'!$J$471:$J$647)</f>
        <v>0</v>
      </c>
      <c r="L37" s="57">
        <f t="shared" ref="L37:L47" si="25">J37-K37</f>
        <v>0</v>
      </c>
      <c r="M37" s="56">
        <f>SUMIF('บันทึกรายการ 63'!$B$649:$B$819,'Statement 63'!A37,'บันทึกรายการ 63'!$I$649:$I$819)</f>
        <v>1712</v>
      </c>
      <c r="N37" s="56">
        <f>SUMIF('บันทึกรายการ 63'!$B$649:$B$819,'Statement 63'!A37,'บันทึกรายการ 63'!$J$649:$J$819)</f>
        <v>0</v>
      </c>
      <c r="O37" s="57">
        <f t="shared" ref="O37:O47" si="26">M37-N37</f>
        <v>1712</v>
      </c>
      <c r="P37" s="56">
        <f>SUMIF('บันทึกรายการ 63'!$B$822:$B$994,'Statement 63'!A37,'บันทึกรายการ 63'!$I$822:$I$994)</f>
        <v>14662.3</v>
      </c>
      <c r="Q37" s="56">
        <f>SUMIF('บันทึกรายการ 63'!$B$822:$B$994,'Statement 63'!A37,'บันทึกรายการ 63'!$J$822:$J$994)</f>
        <v>0</v>
      </c>
      <c r="R37" s="57">
        <f t="shared" ref="R37:R47" si="27">P37-Q37</f>
        <v>14662.3</v>
      </c>
      <c r="S37" s="57">
        <f t="shared" ref="S37:S47" si="28">F37+I37+L37+O37+R37</f>
        <v>83726.7</v>
      </c>
    </row>
    <row r="38" spans="1:19" ht="20.100000000000001" customHeight="1">
      <c r="A38" s="42" t="s">
        <v>44</v>
      </c>
      <c r="B38" s="42" t="s">
        <v>45</v>
      </c>
      <c r="C38" s="55"/>
      <c r="D38" s="56">
        <f>SUMIF('บันทึกรายการ 63'!$B$7:$B$254,'Statement 63'!A38,'บันทึกรายการ 63'!$I$7:$I$254)</f>
        <v>0</v>
      </c>
      <c r="E38" s="56">
        <f>SUMIF('บันทึกรายการ 63'!$B$7:$B$254,'Statement 63'!A38,'บันทึกรายการ 63'!$J$7:$J$254)</f>
        <v>0</v>
      </c>
      <c r="F38" s="57">
        <f t="shared" si="23"/>
        <v>0</v>
      </c>
      <c r="G38" s="56">
        <f>SUMIF('บันทึกรายการ 63'!$B$257:$B$467,'Statement 63'!A38,'บันทึกรายการ 63'!$I$257:$I$467)</f>
        <v>800</v>
      </c>
      <c r="H38" s="56">
        <f>SUMIF('บันทึกรายการ 63'!$B$257:$B$467,'Statement 63'!A38,'บันทึกรายการ 63'!$J$257:$J$467)</f>
        <v>0</v>
      </c>
      <c r="I38" s="57">
        <f t="shared" si="24"/>
        <v>800</v>
      </c>
      <c r="J38" s="56">
        <f>SUMIF('บันทึกรายการ 63'!$B$471:$B$647,'Statement 63'!A38,'บันทึกรายการ 63'!$I$471:$I$647)</f>
        <v>920</v>
      </c>
      <c r="K38" s="56">
        <f>SUMIF('บันทึกรายการ 63'!$B$471:$B$647,'Statement 63'!A38,'บันทึกรายการ 63'!$J$471:$J$647)</f>
        <v>0</v>
      </c>
      <c r="L38" s="57">
        <f t="shared" si="25"/>
        <v>920</v>
      </c>
      <c r="M38" s="56">
        <f>SUMIF('บันทึกรายการ 63'!$B$649:$B$819,'Statement 63'!A38,'บันทึกรายการ 63'!$I$649:$I$819)</f>
        <v>0</v>
      </c>
      <c r="N38" s="56">
        <f>SUMIF('บันทึกรายการ 63'!$B$649:$B$819,'Statement 63'!A38,'บันทึกรายการ 63'!$J$649:$J$819)</f>
        <v>0</v>
      </c>
      <c r="O38" s="57">
        <f t="shared" si="26"/>
        <v>0</v>
      </c>
      <c r="P38" s="56">
        <f>SUMIF('บันทึกรายการ 63'!$B$822:$B$994,'Statement 63'!A38,'บันทึกรายการ 63'!$I$822:$I$994)</f>
        <v>0</v>
      </c>
      <c r="Q38" s="56">
        <f>SUMIF('บันทึกรายการ 63'!$B$822:$B$994,'Statement 63'!A38,'บันทึกรายการ 63'!$J$822:$J$994)</f>
        <v>0</v>
      </c>
      <c r="R38" s="57">
        <f t="shared" si="27"/>
        <v>0</v>
      </c>
      <c r="S38" s="57">
        <f t="shared" si="28"/>
        <v>1720</v>
      </c>
    </row>
    <row r="39" spans="1:19" ht="20.100000000000001" customHeight="1">
      <c r="A39" s="42" t="s">
        <v>46</v>
      </c>
      <c r="B39" s="42" t="s">
        <v>47</v>
      </c>
      <c r="C39" s="55"/>
      <c r="D39" s="56">
        <f>SUMIF('บันทึกรายการ 63'!$B$7:$B$254,'Statement 63'!A39,'บันทึกรายการ 63'!$I$7:$I$254)</f>
        <v>15000</v>
      </c>
      <c r="E39" s="56">
        <f>SUMIF('บันทึกรายการ 63'!$B$7:$B$254,'Statement 63'!A39,'บันทึกรายการ 63'!$J$7:$J$254)</f>
        <v>0</v>
      </c>
      <c r="F39" s="57">
        <f t="shared" si="23"/>
        <v>15000</v>
      </c>
      <c r="G39" s="56">
        <f>SUMIF('บันทึกรายการ 63'!$B$257:$B$467,'Statement 63'!A39,'บันทึกรายการ 63'!$I$257:$I$467)</f>
        <v>15000</v>
      </c>
      <c r="H39" s="56">
        <f>SUMIF('บันทึกรายการ 63'!$B$257:$B$467,'Statement 63'!A39,'บันทึกรายการ 63'!$J$257:$J$467)</f>
        <v>0</v>
      </c>
      <c r="I39" s="57">
        <f t="shared" si="24"/>
        <v>15000</v>
      </c>
      <c r="J39" s="56">
        <f>SUMIF('บันทึกรายการ 63'!$B$471:$B$647,'Statement 63'!A39,'บันทึกรายการ 63'!$I$471:$I$647)</f>
        <v>15000</v>
      </c>
      <c r="K39" s="56">
        <f>SUMIF('บันทึกรายการ 63'!$B$471:$B$647,'Statement 63'!A39,'บันทึกรายการ 63'!$J$471:$J$647)</f>
        <v>0</v>
      </c>
      <c r="L39" s="57">
        <f t="shared" si="25"/>
        <v>15000</v>
      </c>
      <c r="M39" s="56">
        <f>SUMIF('บันทึกรายการ 63'!$B$649:$B$819,'Statement 63'!A39,'บันทึกรายการ 63'!$I$649:$I$819)</f>
        <v>15000</v>
      </c>
      <c r="N39" s="56">
        <f>SUMIF('บันทึกรายการ 63'!$B$649:$B$819,'Statement 63'!A39,'บันทึกรายการ 63'!$J$649:$J$819)</f>
        <v>0</v>
      </c>
      <c r="O39" s="57">
        <f t="shared" si="26"/>
        <v>15000</v>
      </c>
      <c r="P39" s="56">
        <f>SUMIF('บันทึกรายการ 63'!$B$822:$B$994,'Statement 63'!A39,'บันทึกรายการ 63'!$I$822:$I$994)</f>
        <v>15000</v>
      </c>
      <c r="Q39" s="56">
        <f>SUMIF('บันทึกรายการ 63'!$B$822:$B$994,'Statement 63'!A39,'บันทึกรายการ 63'!$J$822:$J$994)</f>
        <v>0</v>
      </c>
      <c r="R39" s="57">
        <f t="shared" si="27"/>
        <v>15000</v>
      </c>
      <c r="S39" s="57">
        <f t="shared" si="28"/>
        <v>75000</v>
      </c>
    </row>
    <row r="40" spans="1:19" ht="20.100000000000001" customHeight="1">
      <c r="A40" s="42" t="s">
        <v>48</v>
      </c>
      <c r="B40" s="42" t="s">
        <v>49</v>
      </c>
      <c r="C40" s="55"/>
      <c r="D40" s="56">
        <f>SUMIF('บันทึกรายการ 63'!$B$7:$B$254,'Statement 63'!A40,'บันทึกรายการ 63'!$I$7:$I$254)</f>
        <v>38233.18</v>
      </c>
      <c r="E40" s="56">
        <f>SUMIF('บันทึกรายการ 63'!$B$7:$B$254,'Statement 63'!A40,'บันทึกรายการ 63'!$J$7:$J$254)</f>
        <v>0</v>
      </c>
      <c r="F40" s="57">
        <f t="shared" si="23"/>
        <v>38233.18</v>
      </c>
      <c r="G40" s="56">
        <f>SUMIF('บันทึกรายการ 63'!$B$257:$B$467,'Statement 63'!A40,'บันทึกรายการ 63'!$I$257:$I$467)</f>
        <v>38814.32</v>
      </c>
      <c r="H40" s="56">
        <f>SUMIF('บันทึกรายการ 63'!$B$257:$B$467,'Statement 63'!A40,'บันทึกรายการ 63'!$J$257:$J$467)</f>
        <v>0</v>
      </c>
      <c r="I40" s="57">
        <f t="shared" si="24"/>
        <v>38814.32</v>
      </c>
      <c r="J40" s="56">
        <f>SUMIF('บันทึกรายการ 63'!$B$471:$B$647,'Statement 63'!A40,'บันทึกรายการ 63'!$I$471:$I$647)</f>
        <v>38814.32</v>
      </c>
      <c r="K40" s="56">
        <f>SUMIF('บันทึกรายการ 63'!$B$471:$B$647,'Statement 63'!A40,'บันทึกรายการ 63'!$J$471:$J$647)</f>
        <v>0</v>
      </c>
      <c r="L40" s="57">
        <f t="shared" si="25"/>
        <v>38814.32</v>
      </c>
      <c r="M40" s="56">
        <f>SUMIF('บันทึกรายการ 63'!$B$649:$B$819,'Statement 63'!A40,'บันทึกรายการ 63'!$I$649:$I$819)</f>
        <v>38814.32</v>
      </c>
      <c r="N40" s="56">
        <f>SUMIF('บันทึกรายการ 63'!$B$649:$B$819,'Statement 63'!A40,'บันทึกรายการ 63'!$J$649:$J$819)</f>
        <v>0</v>
      </c>
      <c r="O40" s="57">
        <f t="shared" si="26"/>
        <v>38814.32</v>
      </c>
      <c r="P40" s="56">
        <f>SUMIF('บันทึกรายการ 63'!$B$822:$B$994,'Statement 63'!A40,'บันทึกรายการ 63'!$I$822:$I$994)</f>
        <v>38814.32</v>
      </c>
      <c r="Q40" s="56">
        <f>SUMIF('บันทึกรายการ 63'!$B$822:$B$994,'Statement 63'!A40,'บันทึกรายการ 63'!$J$822:$J$994)</f>
        <v>0</v>
      </c>
      <c r="R40" s="57">
        <f t="shared" si="27"/>
        <v>38814.32</v>
      </c>
      <c r="S40" s="57">
        <f t="shared" si="28"/>
        <v>193490.46000000002</v>
      </c>
    </row>
    <row r="41" spans="1:19" ht="20.100000000000001" customHeight="1">
      <c r="A41" s="42" t="s">
        <v>50</v>
      </c>
      <c r="B41" s="42" t="s">
        <v>51</v>
      </c>
      <c r="C41" s="55"/>
      <c r="D41" s="56">
        <f>SUMIF('บันทึกรายการ 63'!$B$7:$B$254,'Statement 63'!A41,'บันทึกรายการ 63'!$I$7:$I$254)</f>
        <v>3000</v>
      </c>
      <c r="E41" s="56">
        <f>SUMIF('บันทึกรายการ 63'!$B$7:$B$254,'Statement 63'!A41,'บันทึกรายการ 63'!$J$7:$J$254)</f>
        <v>0</v>
      </c>
      <c r="F41" s="57">
        <f t="shared" si="23"/>
        <v>3000</v>
      </c>
      <c r="G41" s="56">
        <f>SUMIF('บันทึกรายการ 63'!$B$257:$B$467,'Statement 63'!A41,'บันทึกรายการ 63'!$I$257:$I$467)</f>
        <v>3000</v>
      </c>
      <c r="H41" s="56">
        <f>SUMIF('บันทึกรายการ 63'!$B$257:$B$467,'Statement 63'!A41,'บันทึกรายการ 63'!$J$257:$J$467)</f>
        <v>0</v>
      </c>
      <c r="I41" s="57">
        <f t="shared" si="24"/>
        <v>3000</v>
      </c>
      <c r="J41" s="56">
        <f>SUMIF('บันทึกรายการ 63'!$B$471:$B$647,'Statement 63'!A41,'บันทึกรายการ 63'!$I$471:$I$647)</f>
        <v>3000</v>
      </c>
      <c r="K41" s="56">
        <f>SUMIF('บันทึกรายการ 63'!$B$471:$B$647,'Statement 63'!A41,'บันทึกรายการ 63'!$J$471:$J$647)</f>
        <v>0</v>
      </c>
      <c r="L41" s="57">
        <f t="shared" si="25"/>
        <v>3000</v>
      </c>
      <c r="M41" s="56">
        <f>SUMIF('บันทึกรายการ 63'!$B$649:$B$819,'Statement 63'!A41,'บันทึกรายการ 63'!$I$649:$I$819)</f>
        <v>3000</v>
      </c>
      <c r="N41" s="56">
        <f>SUMIF('บันทึกรายการ 63'!$B$649:$B$819,'Statement 63'!A41,'บันทึกรายการ 63'!$J$649:$J$819)</f>
        <v>0</v>
      </c>
      <c r="O41" s="57">
        <f t="shared" si="26"/>
        <v>3000</v>
      </c>
      <c r="P41" s="56">
        <f>SUMIF('บันทึกรายการ 63'!$B$822:$B$994,'Statement 63'!A41,'บันทึกรายการ 63'!$I$822:$I$994)</f>
        <v>3000</v>
      </c>
      <c r="Q41" s="56">
        <f>SUMIF('บันทึกรายการ 63'!$B$822:$B$994,'Statement 63'!A41,'บันทึกรายการ 63'!$J$822:$J$994)</f>
        <v>0</v>
      </c>
      <c r="R41" s="57">
        <f t="shared" si="27"/>
        <v>3000</v>
      </c>
      <c r="S41" s="57">
        <f t="shared" si="28"/>
        <v>15000</v>
      </c>
    </row>
    <row r="42" spans="1:19" ht="20.100000000000001" customHeight="1">
      <c r="A42" s="42" t="s">
        <v>52</v>
      </c>
      <c r="B42" s="42" t="s">
        <v>53</v>
      </c>
      <c r="C42" s="55"/>
      <c r="D42" s="56">
        <f>SUMIF('บันทึกรายการ 63'!$B$7:$B$254,'Statement 63'!A42,'บันทึกรายการ 63'!$I$7:$I$254)</f>
        <v>7500</v>
      </c>
      <c r="E42" s="56">
        <f>SUMIF('บันทึกรายการ 63'!$B$7:$B$254,'Statement 63'!A42,'บันทึกรายการ 63'!$J$7:$J$254)</f>
        <v>0</v>
      </c>
      <c r="F42" s="57">
        <f t="shared" si="23"/>
        <v>7500</v>
      </c>
      <c r="G42" s="56">
        <f>SUMIF('บันทึกรายการ 63'!$B$257:$B$467,'Statement 63'!A42,'บันทึกรายการ 63'!$I$257:$I$467)</f>
        <v>7500</v>
      </c>
      <c r="H42" s="56">
        <f>SUMIF('บันทึกรายการ 63'!$B$257:$B$467,'Statement 63'!A42,'บันทึกรายการ 63'!$J$257:$J$467)</f>
        <v>0</v>
      </c>
      <c r="I42" s="57">
        <f t="shared" si="24"/>
        <v>7500</v>
      </c>
      <c r="J42" s="56">
        <f>SUMIF('บันทึกรายการ 63'!$B$471:$B$647,'Statement 63'!A42,'บันทึกรายการ 63'!$I$471:$I$647)</f>
        <v>7500</v>
      </c>
      <c r="K42" s="56">
        <f>SUMIF('บันทึกรายการ 63'!$B$471:$B$647,'Statement 63'!A42,'บันทึกรายการ 63'!$J$471:$J$647)</f>
        <v>0</v>
      </c>
      <c r="L42" s="57">
        <f t="shared" si="25"/>
        <v>7500</v>
      </c>
      <c r="M42" s="56">
        <f>SUMIF('บันทึกรายการ 63'!$B$649:$B$819,'Statement 63'!A42,'บันทึกรายการ 63'!$I$649:$I$819)</f>
        <v>0</v>
      </c>
      <c r="N42" s="56">
        <f>SUMIF('บันทึกรายการ 63'!$B$649:$B$819,'Statement 63'!A42,'บันทึกรายการ 63'!$J$649:$J$819)</f>
        <v>0</v>
      </c>
      <c r="O42" s="57">
        <f t="shared" si="26"/>
        <v>0</v>
      </c>
      <c r="P42" s="56">
        <f>SUMIF('บันทึกรายการ 63'!$B$822:$B$994,'Statement 63'!A42,'บันทึกรายการ 63'!$I$822:$I$994)</f>
        <v>0</v>
      </c>
      <c r="Q42" s="56">
        <f>SUMIF('บันทึกรายการ 63'!$B$822:$B$994,'Statement 63'!A42,'บันทึกรายการ 63'!$J$822:$J$994)</f>
        <v>0</v>
      </c>
      <c r="R42" s="57">
        <f t="shared" si="27"/>
        <v>0</v>
      </c>
      <c r="S42" s="57">
        <f t="shared" si="28"/>
        <v>22500</v>
      </c>
    </row>
    <row r="43" spans="1:19" ht="20.100000000000001" customHeight="1">
      <c r="A43" s="42" t="s">
        <v>54</v>
      </c>
      <c r="B43" s="42" t="s">
        <v>55</v>
      </c>
      <c r="C43" s="55"/>
      <c r="D43" s="56">
        <f>SUMIF('บันทึกรายการ 63'!$B$7:$B$254,'Statement 63'!A43,'บันทึกรายการ 63'!$I$7:$I$254)</f>
        <v>4863.82</v>
      </c>
      <c r="E43" s="56">
        <f>SUMIF('บันทึกรายการ 63'!$B$7:$B$254,'Statement 63'!A43,'บันทึกรายการ 63'!$J$7:$J$254)</f>
        <v>0</v>
      </c>
      <c r="F43" s="57">
        <f t="shared" si="23"/>
        <v>4863.82</v>
      </c>
      <c r="G43" s="56">
        <f>SUMIF('บันทึกรายการ 63'!$B$257:$B$467,'Statement 63'!A43,'บันทึกรายการ 63'!$I$257:$I$467)</f>
        <v>5769.34</v>
      </c>
      <c r="H43" s="56">
        <f>SUMIF('บันทึกรายการ 63'!$B$257:$B$467,'Statement 63'!A43,'บันทึกรายการ 63'!$J$257:$J$467)</f>
        <v>0</v>
      </c>
      <c r="I43" s="57">
        <f t="shared" si="24"/>
        <v>5769.34</v>
      </c>
      <c r="J43" s="56">
        <f>SUMIF('บันทึกรายการ 63'!$B$471:$B$647,'Statement 63'!A43,'บันทึกรายการ 63'!$I$471:$I$647)</f>
        <v>6231.77</v>
      </c>
      <c r="K43" s="56">
        <f>SUMIF('บันทึกรายการ 63'!$B$471:$B$647,'Statement 63'!A43,'บันทึกรายการ 63'!$J$471:$J$647)</f>
        <v>0</v>
      </c>
      <c r="L43" s="57">
        <f t="shared" si="25"/>
        <v>6231.77</v>
      </c>
      <c r="M43" s="56">
        <f>SUMIF('บันทึกรายการ 63'!$B$649:$B$819,'Statement 63'!A43,'บันทึกรายการ 63'!$I$649:$I$819)</f>
        <v>5777.06</v>
      </c>
      <c r="N43" s="56">
        <f>SUMIF('บันทึกรายการ 63'!$B$649:$B$819,'Statement 63'!A43,'บันทึกรายการ 63'!$J$649:$J$819)</f>
        <v>0</v>
      </c>
      <c r="O43" s="57">
        <f t="shared" si="26"/>
        <v>5777.06</v>
      </c>
      <c r="P43" s="56">
        <f>SUMIF('บันทึกรายการ 63'!$B$822:$B$994,'Statement 63'!A43,'บันทึกรายการ 63'!$I$822:$I$994)</f>
        <v>4930.58</v>
      </c>
      <c r="Q43" s="56">
        <f>SUMIF('บันทึกรายการ 63'!$B$822:$B$994,'Statement 63'!A43,'บันทึกรายการ 63'!$J$822:$J$994)</f>
        <v>0</v>
      </c>
      <c r="R43" s="57">
        <f t="shared" si="27"/>
        <v>4930.58</v>
      </c>
      <c r="S43" s="57">
        <f t="shared" si="28"/>
        <v>27572.57</v>
      </c>
    </row>
    <row r="44" spans="1:19" ht="20.100000000000001" customHeight="1">
      <c r="A44" s="42" t="s">
        <v>56</v>
      </c>
      <c r="B44" s="42" t="s">
        <v>57</v>
      </c>
      <c r="C44" s="55"/>
      <c r="D44" s="56">
        <f>SUMIF('บันทึกรายการ 63'!$B$7:$B$254,'Statement 63'!A44,'บันทึกรายการ 63'!$I$7:$I$254)</f>
        <v>0</v>
      </c>
      <c r="E44" s="56">
        <f>SUMIF('บันทึกรายการ 63'!$B$7:$B$254,'Statement 63'!A44,'บันทึกรายการ 63'!$J$7:$J$254)</f>
        <v>0</v>
      </c>
      <c r="F44" s="57">
        <f t="shared" si="23"/>
        <v>0</v>
      </c>
      <c r="G44" s="56">
        <f>SUMIF('บันทึกรายการ 63'!$B$257:$B$467,'Statement 63'!A44,'บันทึกรายการ 63'!$I$257:$I$467)</f>
        <v>0</v>
      </c>
      <c r="H44" s="56">
        <f>SUMIF('บันทึกรายการ 63'!$B$257:$B$467,'Statement 63'!A44,'บันทึกรายการ 63'!$J$257:$J$467)</f>
        <v>0</v>
      </c>
      <c r="I44" s="57">
        <f t="shared" si="24"/>
        <v>0</v>
      </c>
      <c r="J44" s="56">
        <f>SUMIF('บันทึกรายการ 63'!$B$471:$B$647,'Statement 63'!A44,'บันทึกรายการ 63'!$I$471:$I$647)</f>
        <v>0</v>
      </c>
      <c r="K44" s="56">
        <f>SUMIF('บันทึกรายการ 63'!$B$471:$B$647,'Statement 63'!A44,'บันทึกรายการ 63'!$J$471:$J$647)</f>
        <v>0</v>
      </c>
      <c r="L44" s="57">
        <f t="shared" si="25"/>
        <v>0</v>
      </c>
      <c r="M44" s="56">
        <f>SUMIF('บันทึกรายการ 63'!$B$649:$B$819,'Statement 63'!A44,'บันทึกรายการ 63'!$I$649:$I$819)</f>
        <v>0</v>
      </c>
      <c r="N44" s="56">
        <f>SUMIF('บันทึกรายการ 63'!$B$649:$B$819,'Statement 63'!A44,'บันทึกรายการ 63'!$J$649:$J$819)</f>
        <v>0</v>
      </c>
      <c r="O44" s="57">
        <f t="shared" si="26"/>
        <v>0</v>
      </c>
      <c r="P44" s="56">
        <f>SUMIF('บันทึกรายการ 63'!$B$822:$B$994,'Statement 63'!A44,'บันทึกรายการ 63'!$I$822:$I$994)</f>
        <v>0</v>
      </c>
      <c r="Q44" s="56">
        <f>SUMIF('บันทึกรายการ 63'!$B$822:$B$994,'Statement 63'!A44,'บันทึกรายการ 63'!$J$822:$J$994)</f>
        <v>0</v>
      </c>
      <c r="R44" s="57">
        <f t="shared" si="27"/>
        <v>0</v>
      </c>
      <c r="S44" s="57">
        <f t="shared" si="28"/>
        <v>0</v>
      </c>
    </row>
    <row r="45" spans="1:19" ht="20.100000000000001" customHeight="1">
      <c r="A45" s="42" t="s">
        <v>58</v>
      </c>
      <c r="B45" s="42" t="s">
        <v>59</v>
      </c>
      <c r="C45" s="55"/>
      <c r="D45" s="56">
        <f>SUMIF('บันทึกรายการ 63'!$B$7:$B$254,'Statement 63'!A45,'บันทึกรายการ 63'!$I$7:$I$254)</f>
        <v>0</v>
      </c>
      <c r="E45" s="56">
        <f>SUMIF('บันทึกรายการ 63'!$B$7:$B$254,'Statement 63'!A45,'บันทึกรายการ 63'!$J$7:$J$254)</f>
        <v>0</v>
      </c>
      <c r="F45" s="57">
        <f t="shared" si="23"/>
        <v>0</v>
      </c>
      <c r="G45" s="56">
        <f>SUMIF('บันทึกรายการ 63'!$B$257:$B$467,'Statement 63'!A45,'บันทึกรายการ 63'!$I$257:$I$467)</f>
        <v>0</v>
      </c>
      <c r="H45" s="56">
        <f>SUMIF('บันทึกรายการ 63'!$B$257:$B$467,'Statement 63'!A45,'บันทึกรายการ 63'!$J$257:$J$467)</f>
        <v>0</v>
      </c>
      <c r="I45" s="57">
        <f t="shared" si="24"/>
        <v>0</v>
      </c>
      <c r="J45" s="56">
        <f>SUMIF('บันทึกรายการ 63'!$B$471:$B$647,'Statement 63'!A45,'บันทึกรายการ 63'!$I$471:$I$647)</f>
        <v>2000</v>
      </c>
      <c r="K45" s="56">
        <f>SUMIF('บันทึกรายการ 63'!$B$471:$B$647,'Statement 63'!A45,'บันทึกรายการ 63'!$J$471:$J$647)</f>
        <v>0</v>
      </c>
      <c r="L45" s="57">
        <f t="shared" si="25"/>
        <v>2000</v>
      </c>
      <c r="M45" s="56">
        <f>SUMIF('บันทึกรายการ 63'!$B$649:$B$819,'Statement 63'!A45,'บันทึกรายการ 63'!$I$649:$I$819)</f>
        <v>0</v>
      </c>
      <c r="N45" s="56">
        <f>SUMIF('บันทึกรายการ 63'!$B$649:$B$819,'Statement 63'!A45,'บันทึกรายการ 63'!$J$649:$J$819)</f>
        <v>0</v>
      </c>
      <c r="O45" s="57">
        <f t="shared" si="26"/>
        <v>0</v>
      </c>
      <c r="P45" s="56">
        <f>SUMIF('บันทึกรายการ 63'!$B$822:$B$994,'Statement 63'!A45,'บันทึกรายการ 63'!$I$822:$I$994)</f>
        <v>0</v>
      </c>
      <c r="Q45" s="56">
        <f>SUMIF('บันทึกรายการ 63'!$B$822:$B$994,'Statement 63'!A45,'บันทึกรายการ 63'!$J$822:$J$994)</f>
        <v>0</v>
      </c>
      <c r="R45" s="57">
        <f t="shared" si="27"/>
        <v>0</v>
      </c>
      <c r="S45" s="57">
        <f t="shared" si="28"/>
        <v>2000</v>
      </c>
    </row>
    <row r="46" spans="1:19" ht="20.100000000000001" customHeight="1">
      <c r="A46" s="42" t="s">
        <v>976</v>
      </c>
      <c r="B46" s="42" t="s">
        <v>977</v>
      </c>
      <c r="C46" s="55"/>
      <c r="D46" s="56">
        <f>SUMIF('บันทึกรายการ 63'!$B$7:$B$254,'Statement 63'!A46,'บันทึกรายการ 63'!$I$7:$I$254)</f>
        <v>0</v>
      </c>
      <c r="E46" s="56">
        <f>SUMIF('บันทึกรายการ 63'!$B$7:$B$254,'Statement 63'!A46,'บันทึกรายการ 63'!$J$7:$J$254)</f>
        <v>0</v>
      </c>
      <c r="F46" s="57">
        <f>D46-E46</f>
        <v>0</v>
      </c>
      <c r="G46" s="56">
        <f>SUMIF('บันทึกรายการ 63'!$B$257:$B$467,'Statement 63'!A46,'บันทึกรายการ 63'!$I$257:$I$467)</f>
        <v>0</v>
      </c>
      <c r="H46" s="56">
        <f>SUMIF('บันทึกรายการ 63'!$B$257:$B$467,'Statement 63'!A46,'บันทึกรายการ 63'!$J$257:$J$467)</f>
        <v>0</v>
      </c>
      <c r="I46" s="57">
        <f t="shared" si="24"/>
        <v>0</v>
      </c>
      <c r="J46" s="56">
        <f>SUMIF('บันทึกรายการ 63'!$B$471:$B$647,'Statement 63'!A46,'บันทึกรายการ 63'!$I$471:$I$647)</f>
        <v>9998</v>
      </c>
      <c r="K46" s="56">
        <f>SUMIF('บันทึกรายการ 63'!$B$471:$B$647,'Statement 63'!A46,'บันทึกรายการ 63'!$J$471:$J$647)</f>
        <v>0</v>
      </c>
      <c r="L46" s="57">
        <f t="shared" si="25"/>
        <v>9998</v>
      </c>
      <c r="M46" s="56">
        <f>SUMIF('บันทึกรายการ 63'!$B$649:$B$819,'Statement 63'!A46,'บันทึกรายการ 63'!$I$649:$I$819)</f>
        <v>0</v>
      </c>
      <c r="N46" s="56">
        <f>SUMIF('บันทึกรายการ 63'!$B$649:$B$819,'Statement 63'!A46,'บันทึกรายการ 63'!$J$649:$J$819)</f>
        <v>0</v>
      </c>
      <c r="O46" s="57">
        <f t="shared" si="26"/>
        <v>0</v>
      </c>
      <c r="P46" s="56">
        <f>SUMIF('บันทึกรายการ 63'!$B$822:$B$994,'Statement 63'!A46,'บันทึกรายการ 63'!$I$822:$I$994)</f>
        <v>0</v>
      </c>
      <c r="Q46" s="56">
        <f>SUMIF('บันทึกรายการ 63'!$B$822:$B$994,'Statement 63'!A46,'บันทึกรายการ 63'!$J$822:$J$994)</f>
        <v>0</v>
      </c>
      <c r="R46" s="57">
        <f t="shared" si="27"/>
        <v>0</v>
      </c>
      <c r="S46" s="57">
        <f t="shared" si="28"/>
        <v>9998</v>
      </c>
    </row>
    <row r="47" spans="1:19" ht="20.100000000000001" customHeight="1">
      <c r="A47" s="42" t="s">
        <v>60</v>
      </c>
      <c r="B47" s="42" t="s">
        <v>61</v>
      </c>
      <c r="C47" s="55"/>
      <c r="D47" s="56">
        <f>SUMIF('บันทึกรายการ 63'!$B$7:$B$254,'Statement 63'!A47,'บันทึกรายการ 63'!$I$7:$I$254)</f>
        <v>0</v>
      </c>
      <c r="E47" s="56">
        <f>SUMIF('บันทึกรายการ 63'!$B$7:$B$254,'Statement 63'!A47,'บันทึกรายการ 63'!$J$7:$J$254)</f>
        <v>0</v>
      </c>
      <c r="F47" s="57">
        <f t="shared" si="23"/>
        <v>0</v>
      </c>
      <c r="G47" s="56">
        <f>SUMIF('บันทึกรายการ 63'!$B$257:$B$467,'Statement 63'!A47,'บันทึกรายการ 63'!$I$257:$I$467)</f>
        <v>0</v>
      </c>
      <c r="H47" s="56">
        <f>SUMIF('บันทึกรายการ 63'!$B$257:$B$467,'Statement 63'!A47,'บันทึกรายการ 63'!$J$257:$J$467)</f>
        <v>0</v>
      </c>
      <c r="I47" s="57">
        <f t="shared" si="24"/>
        <v>0</v>
      </c>
      <c r="J47" s="56">
        <f>SUMIF('บันทึกรายการ 63'!$B$471:$B$647,'Statement 63'!A47,'บันทึกรายการ 63'!$I$471:$I$647)</f>
        <v>0</v>
      </c>
      <c r="K47" s="56">
        <f>SUMIF('บันทึกรายการ 63'!$B$471:$B$647,'Statement 63'!A47,'บันทึกรายการ 63'!$J$471:$J$647)</f>
        <v>0</v>
      </c>
      <c r="L47" s="57">
        <f t="shared" si="25"/>
        <v>0</v>
      </c>
      <c r="M47" s="56">
        <f>SUMIF('บันทึกรายการ 63'!$B$649:$B$819,'Statement 63'!A47,'บันทึกรายการ 63'!$I$649:$I$819)</f>
        <v>0</v>
      </c>
      <c r="N47" s="56">
        <f>SUMIF('บันทึกรายการ 63'!$B$649:$B$819,'Statement 63'!A47,'บันทึกรายการ 63'!$J$649:$J$819)</f>
        <v>0</v>
      </c>
      <c r="O47" s="57">
        <f t="shared" si="26"/>
        <v>0</v>
      </c>
      <c r="P47" s="56">
        <f>SUMIF('บันทึกรายการ 63'!$B$822:$B$994,'Statement 63'!A47,'บันทึกรายการ 63'!$I$822:$I$994)</f>
        <v>0</v>
      </c>
      <c r="Q47" s="56">
        <f>SUMIF('บันทึกรายการ 63'!$B$822:$B$994,'Statement 63'!A47,'บันทึกรายการ 63'!$J$822:$J$994)</f>
        <v>0</v>
      </c>
      <c r="R47" s="57">
        <f t="shared" si="27"/>
        <v>0</v>
      </c>
      <c r="S47" s="57">
        <f t="shared" si="28"/>
        <v>0</v>
      </c>
    </row>
    <row r="48" spans="1:19" ht="20.100000000000001" customHeight="1" thickBot="1">
      <c r="C48" s="62">
        <f t="shared" ref="C48:E48" si="29">SUM(C36:C47)</f>
        <v>0</v>
      </c>
      <c r="D48" s="62">
        <f t="shared" si="29"/>
        <v>135949.4</v>
      </c>
      <c r="E48" s="62">
        <f t="shared" si="29"/>
        <v>0</v>
      </c>
      <c r="F48" s="62">
        <f>SUM(F36:F47)</f>
        <v>135949.4</v>
      </c>
      <c r="G48" s="62">
        <f t="shared" ref="G48:K48" si="30">SUM(G36:G47)</f>
        <v>70883.66</v>
      </c>
      <c r="H48" s="62">
        <f t="shared" si="30"/>
        <v>0</v>
      </c>
      <c r="I48" s="62">
        <f t="shared" si="30"/>
        <v>70883.66</v>
      </c>
      <c r="J48" s="62">
        <f t="shared" si="30"/>
        <v>83464.09</v>
      </c>
      <c r="K48" s="62">
        <f t="shared" si="30"/>
        <v>0</v>
      </c>
      <c r="L48" s="62">
        <f t="shared" ref="L48" si="31">SUM(L36:L47)</f>
        <v>83464.09</v>
      </c>
      <c r="M48" s="62">
        <f t="shared" ref="M48:N48" si="32">SUM(M36:M47)</f>
        <v>64303.38</v>
      </c>
      <c r="N48" s="62">
        <f t="shared" si="32"/>
        <v>0</v>
      </c>
      <c r="O48" s="62">
        <f t="shared" ref="O48" si="33">SUM(O36:O47)</f>
        <v>64303.38</v>
      </c>
      <c r="P48" s="62">
        <f t="shared" ref="P48" si="34">SUM(P36:P47)</f>
        <v>76407.199999999997</v>
      </c>
      <c r="Q48" s="62">
        <f t="shared" ref="Q48:R48" si="35">SUM(Q36:Q47)</f>
        <v>0</v>
      </c>
      <c r="R48" s="62">
        <f t="shared" si="35"/>
        <v>76407.199999999997</v>
      </c>
      <c r="S48" s="62">
        <f>SUM(S36:S47)</f>
        <v>431007.73000000004</v>
      </c>
    </row>
    <row r="49" spans="2:19" s="46" customFormat="1" ht="20.100000000000001" customHeight="1">
      <c r="B49" s="47" t="s">
        <v>999</v>
      </c>
      <c r="C49" s="67"/>
      <c r="D49" s="67"/>
      <c r="E49" s="67"/>
      <c r="F49" s="68">
        <f>F34-F48</f>
        <v>64660.079999999987</v>
      </c>
      <c r="G49" s="67"/>
      <c r="H49" s="67"/>
      <c r="I49" s="68">
        <f>I34-I48</f>
        <v>16521.02999999997</v>
      </c>
      <c r="J49" s="67"/>
      <c r="K49" s="67"/>
      <c r="L49" s="68">
        <f>L34-L48</f>
        <v>-33859.969999999994</v>
      </c>
      <c r="M49" s="67"/>
      <c r="N49" s="67"/>
      <c r="O49" s="68">
        <f>O34-O48</f>
        <v>-11496.970000000001</v>
      </c>
      <c r="P49" s="67"/>
      <c r="Q49" s="67"/>
      <c r="R49" s="68">
        <f>R34-R48</f>
        <v>-28402.739999999998</v>
      </c>
      <c r="S49" s="68">
        <f>S34-S48</f>
        <v>7421.4299999998766</v>
      </c>
    </row>
    <row r="50" spans="2:19" ht="20.100000000000001" hidden="1" customHeight="1">
      <c r="B50" s="43" t="s">
        <v>1000</v>
      </c>
      <c r="D50" s="45">
        <f>D48+D34+D26+D12</f>
        <v>447370.42999999993</v>
      </c>
      <c r="E50" s="45">
        <f>E48+E34+E26+E12</f>
        <v>447370.42999999993</v>
      </c>
      <c r="F50" s="45"/>
      <c r="G50" s="45">
        <f>G48+G34+G26+G12</f>
        <v>501610.35</v>
      </c>
      <c r="H50" s="45">
        <f>H48+H34+H26+H12</f>
        <v>501610.35</v>
      </c>
      <c r="J50" s="45">
        <f>J48+J34+J26+J12</f>
        <v>213553.87</v>
      </c>
      <c r="K50" s="45">
        <f>K48+K34+K26+K12</f>
        <v>213553.87</v>
      </c>
      <c r="M50" s="45">
        <f>M48+M34+M26+M12</f>
        <v>190655.88</v>
      </c>
      <c r="N50" s="45">
        <f>N48+N34+N26+N12</f>
        <v>190655.88</v>
      </c>
      <c r="P50" s="45">
        <f>P48+P34+P26+P12</f>
        <v>303103.03999999998</v>
      </c>
      <c r="Q50" s="45">
        <f>Q48+Q34+Q26+Q12</f>
        <v>303103.03999999998</v>
      </c>
    </row>
    <row r="51" spans="2:19" ht="20.100000000000001" customHeight="1">
      <c r="H51" s="45">
        <f>G50-H50</f>
        <v>0</v>
      </c>
      <c r="K51" s="45">
        <f>J50-K50</f>
        <v>0</v>
      </c>
      <c r="Q51" s="45">
        <f>Q50-P50</f>
        <v>0</v>
      </c>
    </row>
  </sheetData>
  <mergeCells count="2">
    <mergeCell ref="C1:S1"/>
    <mergeCell ref="C2:S2"/>
  </mergeCells>
  <pageMargins left="0.70866141732283472" right="0.70866141732283472" top="0.74803149606299213" bottom="0.74803149606299213" header="0.31496062992125984" footer="0.31496062992125984"/>
  <pageSetup paperSize="9" scale="83" fitToHeight="2" orientation="landscape" r:id="rId1"/>
  <headerFooter>
    <oddHeader xml:space="preserve">&amp;R&amp;P/&amp;N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D499-A03F-436A-831F-B2E6FF47AA82}">
  <dimension ref="A2:L41"/>
  <sheetViews>
    <sheetView workbookViewId="0">
      <selection activeCell="D44" sqref="D44"/>
    </sheetView>
  </sheetViews>
  <sheetFormatPr defaultRowHeight="15"/>
  <cols>
    <col min="2" max="2" width="35.85546875" bestFit="1" customWidth="1"/>
    <col min="3" max="3" width="11.7109375" customWidth="1"/>
    <col min="4" max="4" width="13.28515625" style="23" bestFit="1" customWidth="1"/>
    <col min="5" max="5" width="6.28515625" customWidth="1"/>
    <col min="6" max="6" width="11.5703125" style="23" bestFit="1" customWidth="1"/>
    <col min="7" max="7" width="12.85546875" customWidth="1"/>
    <col min="8" max="8" width="13.28515625" customWidth="1"/>
    <col min="9" max="12" width="11.5703125" bestFit="1" customWidth="1"/>
  </cols>
  <sheetData>
    <row r="2" spans="1:12" ht="30.75" thickBot="1">
      <c r="A2" s="14" t="s">
        <v>392</v>
      </c>
      <c r="B2" s="13"/>
      <c r="C2" s="13"/>
      <c r="D2" s="10" t="s">
        <v>970</v>
      </c>
      <c r="E2" s="11"/>
      <c r="F2" s="12" t="s">
        <v>389</v>
      </c>
      <c r="G2" s="12" t="s">
        <v>390</v>
      </c>
      <c r="H2" s="11" t="s">
        <v>391</v>
      </c>
    </row>
    <row r="3" spans="1:12">
      <c r="A3" t="s">
        <v>0</v>
      </c>
      <c r="B3" t="s">
        <v>1</v>
      </c>
      <c r="D3" s="15">
        <v>5000</v>
      </c>
      <c r="E3" s="16"/>
      <c r="F3" s="15">
        <f ca="1">SUMIF('บันทึกรายการ 63'!$B$7:$B$994,'TB 63'!A3,'บันทึกรายการ 63'!$I$7:$I$985)</f>
        <v>2</v>
      </c>
      <c r="G3" s="15">
        <f>-SUMIF('บันทึกรายการ 63'!$B$7:$B$994,'TB 63'!A3,'บันทึกรายการ 63'!$J$7:$J$994)</f>
        <v>-5000</v>
      </c>
      <c r="H3" s="17">
        <f ca="1">D3+F3+G3</f>
        <v>2</v>
      </c>
    </row>
    <row r="4" spans="1:12">
      <c r="A4" t="s">
        <v>2</v>
      </c>
      <c r="B4" t="s">
        <v>387</v>
      </c>
      <c r="D4" s="15">
        <v>198050.55</v>
      </c>
      <c r="E4" s="16"/>
      <c r="F4" s="15">
        <f ca="1">SUMIF('บันทึกรายการ 63'!$B$7:$B$994,'TB 63'!A4,'บันทึกรายการ 63'!$I$7:$I$985)</f>
        <v>300000</v>
      </c>
      <c r="G4" s="15">
        <f>-SUMIF('บันทึกรายการ 63'!$B$7:$B$994,'TB 63'!A4,'บันทึกรายการ 63'!$J$7:$J$994)</f>
        <v>-427099.07</v>
      </c>
      <c r="H4" s="17">
        <f t="shared" ref="H4:H38" ca="1" si="0">D4+F4+G4</f>
        <v>70951.479999999981</v>
      </c>
      <c r="I4" s="41">
        <v>70951.48</v>
      </c>
      <c r="J4" s="1">
        <f ca="1">H4-I4</f>
        <v>0</v>
      </c>
    </row>
    <row r="5" spans="1:12">
      <c r="A5" t="s">
        <v>3</v>
      </c>
      <c r="B5" t="s">
        <v>388</v>
      </c>
      <c r="D5" s="15">
        <v>735946.99000000022</v>
      </c>
      <c r="E5" s="16"/>
      <c r="F5" s="15">
        <f ca="1">SUMIF('บันทึกรายการ 63'!$B$7:$B$994,'TB 63'!A5,'บันทึกรายการ 63'!$I$7:$I$985)</f>
        <v>535931.47000000032</v>
      </c>
      <c r="G5" s="15">
        <f>-SUMIF('บันทึกรายการ 63'!$B$7:$B$994,'TB 63'!A5,'บันทึกรายการ 63'!$J$7:$J$994)</f>
        <v>-333000</v>
      </c>
      <c r="H5" s="17">
        <f t="shared" ca="1" si="0"/>
        <v>938878.46000000043</v>
      </c>
      <c r="I5" s="41">
        <v>938878.46</v>
      </c>
      <c r="J5" s="1">
        <f ca="1">H5-I5</f>
        <v>0</v>
      </c>
      <c r="K5" s="1"/>
      <c r="L5" s="41"/>
    </row>
    <row r="6" spans="1:12">
      <c r="A6" t="s">
        <v>4</v>
      </c>
      <c r="B6" t="s">
        <v>5</v>
      </c>
      <c r="D6" s="15">
        <v>376200</v>
      </c>
      <c r="E6" s="16"/>
      <c r="F6" s="15">
        <f ca="1">SUMIF('บันทึกรายการ 63'!$B$7:$B$994,'TB 63'!A6,'บันทึกรายการ 63'!$I$7:$I$985)</f>
        <v>0</v>
      </c>
      <c r="G6" s="15">
        <f>-SUMIF('บันทึกรายการ 63'!$B$7:$B$994,'TB 63'!A6,'บันทึกรายการ 63'!$J$7:$J$994)</f>
        <v>-72602.31</v>
      </c>
      <c r="H6" s="17">
        <f t="shared" ca="1" si="0"/>
        <v>303597.69</v>
      </c>
      <c r="K6" s="41"/>
      <c r="L6" s="41"/>
    </row>
    <row r="7" spans="1:12">
      <c r="A7" t="s">
        <v>6</v>
      </c>
      <c r="B7" t="s">
        <v>7</v>
      </c>
      <c r="D7" s="15">
        <v>18.71</v>
      </c>
      <c r="E7" s="16"/>
      <c r="F7" s="15">
        <f ca="1">SUMIF('บันทึกรายการ 63'!$B$7:$B$994,'TB 63'!A7,'บันทึกรายการ 63'!$I$7:$I$985)</f>
        <v>0</v>
      </c>
      <c r="G7" s="15">
        <f>-SUMIF('บันทึกรายการ 63'!$B$7:$B$994,'TB 63'!A7,'บันทึกรายการ 63'!$J$7:$J$994)</f>
        <v>0</v>
      </c>
      <c r="H7" s="17">
        <f t="shared" ca="1" si="0"/>
        <v>18.71</v>
      </c>
      <c r="K7" s="1"/>
      <c r="L7" s="1"/>
    </row>
    <row r="8" spans="1:12">
      <c r="A8" t="s">
        <v>8</v>
      </c>
      <c r="B8" t="s">
        <v>9</v>
      </c>
      <c r="D8" s="15">
        <v>1867.0500000000002</v>
      </c>
      <c r="E8" s="16"/>
      <c r="F8" s="15">
        <f ca="1">SUMIF('บันทึกรายการ 63'!$B$7:$B$994,'TB 63'!A8,'บันทึกรายการ 63'!$I$7:$I$985)</f>
        <v>10000</v>
      </c>
      <c r="G8" s="15">
        <f>-SUMIF('บันทึกรายการ 63'!$B$7:$B$994,'TB 63'!A8,'บันทึกรายการ 63'!$J$7:$J$994)</f>
        <v>-20000</v>
      </c>
      <c r="H8" s="17">
        <f t="shared" ca="1" si="0"/>
        <v>-8132.9500000000007</v>
      </c>
      <c r="K8" s="1"/>
      <c r="L8" s="1"/>
    </row>
    <row r="9" spans="1:12">
      <c r="A9" t="s">
        <v>10</v>
      </c>
      <c r="B9" t="s">
        <v>11</v>
      </c>
      <c r="D9" s="15">
        <v>19450</v>
      </c>
      <c r="E9" s="16"/>
      <c r="F9" s="15">
        <f ca="1">SUMIF('บันทึกรายการ 63'!$B$7:$B$994,'TB 63'!A9,'บันทึกรายการ 63'!$I$7:$I$985)</f>
        <v>0</v>
      </c>
      <c r="G9" s="15">
        <f>-SUMIF('บันทึกรายการ 63'!$B$7:$B$994,'TB 63'!A9,'บันทึกรายการ 63'!$J$7:$J$994)</f>
        <v>0</v>
      </c>
      <c r="H9" s="17">
        <f t="shared" ca="1" si="0"/>
        <v>19450</v>
      </c>
    </row>
    <row r="10" spans="1:12">
      <c r="A10" t="s">
        <v>12</v>
      </c>
      <c r="B10" t="s">
        <v>13</v>
      </c>
      <c r="D10" s="15">
        <v>0</v>
      </c>
      <c r="E10" s="16"/>
      <c r="F10" s="15">
        <f ca="1">SUMIF('บันทึกรายการ 63'!$B$7:$B$994,'TB 63'!A10,'บันทึกรายการ 63'!$I$7:$I$985)</f>
        <v>0</v>
      </c>
      <c r="G10" s="15">
        <f>-SUMIF('บันทึกรายการ 63'!$B$7:$B$994,'TB 63'!A10,'บันทึกรายการ 63'!$J$7:$J$994)</f>
        <v>0</v>
      </c>
      <c r="H10" s="17">
        <f t="shared" ca="1" si="0"/>
        <v>0</v>
      </c>
    </row>
    <row r="11" spans="1:12">
      <c r="A11" t="s">
        <v>14</v>
      </c>
      <c r="B11" t="s">
        <v>15</v>
      </c>
      <c r="D11" s="15">
        <v>-3000</v>
      </c>
      <c r="E11" s="16"/>
      <c r="F11" s="15">
        <f ca="1">SUMIF('บันทึกรายการ 63'!$B$7:$B$994,'TB 63'!A11,'บันทึกรายการ 63'!$I$7:$I$985)</f>
        <v>15000</v>
      </c>
      <c r="G11" s="15">
        <f>-SUMIF('บันทึกรายการ 63'!$B$7:$B$994,'TB 63'!A11,'บันทึกรายการ 63'!$J$7:$J$994)</f>
        <v>-15000</v>
      </c>
      <c r="H11" s="17">
        <f t="shared" ca="1" si="0"/>
        <v>-3000</v>
      </c>
    </row>
    <row r="12" spans="1:12">
      <c r="A12" t="s">
        <v>16</v>
      </c>
      <c r="B12" t="s">
        <v>17</v>
      </c>
      <c r="D12" s="15">
        <v>-8500</v>
      </c>
      <c r="E12" s="16"/>
      <c r="F12" s="15">
        <f ca="1">SUMIF('บันทึกรายการ 63'!$B$7:$B$994,'TB 63'!A12,'บันทึกรายการ 63'!$I$7:$I$985)</f>
        <v>31000</v>
      </c>
      <c r="G12" s="15">
        <f>-SUMIF('บันทึกรายการ 63'!$B$7:$B$994,'TB 63'!A12,'บันทึกรายการ 63'!$J$7:$J$994)</f>
        <v>-22500</v>
      </c>
      <c r="H12" s="17">
        <f t="shared" ca="1" si="0"/>
        <v>0</v>
      </c>
    </row>
    <row r="13" spans="1:12">
      <c r="A13" t="s">
        <v>18</v>
      </c>
      <c r="B13" t="s">
        <v>19</v>
      </c>
      <c r="D13" s="15">
        <v>-38233.179999999993</v>
      </c>
      <c r="E13" s="16"/>
      <c r="F13" s="15">
        <f ca="1">SUMIF('บันทึกรายการ 63'!$B$7:$B$994,'TB 63'!A13,'บันทึกรายการ 63'!$I$7:$I$985)</f>
        <v>192909.32</v>
      </c>
      <c r="G13" s="15">
        <f>-SUMIF('บันทึกรายการ 63'!$B$7:$B$994,'TB 63'!A13,'บันทึกรายการ 63'!$J$7:$J$994)</f>
        <v>-193490.46000000002</v>
      </c>
      <c r="H13" s="17">
        <f t="shared" ca="1" si="0"/>
        <v>-38814.320000000007</v>
      </c>
    </row>
    <row r="14" spans="1:12">
      <c r="A14" t="s">
        <v>20</v>
      </c>
      <c r="B14" t="s">
        <v>21</v>
      </c>
      <c r="D14" s="15">
        <v>-3476.0600000000013</v>
      </c>
      <c r="E14" s="16"/>
      <c r="F14" s="15">
        <f ca="1">SUMIF('บันทึกรายการ 63'!$B$7:$B$994,'TB 63'!A14,'บันทึกรายการ 63'!$I$7:$I$985)</f>
        <v>26118.05</v>
      </c>
      <c r="G14" s="15">
        <f>-SUMIF('บันทึกรายการ 63'!$B$7:$B$994,'TB 63'!A14,'บันทึกรายการ 63'!$J$7:$J$994)</f>
        <v>-27572.57</v>
      </c>
      <c r="H14" s="17">
        <f t="shared" ca="1" si="0"/>
        <v>-4930.5800000000017</v>
      </c>
    </row>
    <row r="15" spans="1:12">
      <c r="A15" t="s">
        <v>22</v>
      </c>
      <c r="B15" t="s">
        <v>23</v>
      </c>
      <c r="D15" s="15">
        <v>-15000</v>
      </c>
      <c r="E15" s="16"/>
      <c r="F15" s="15">
        <f ca="1">SUMIF('บันทึกรายการ 63'!$B$7:$B$994,'TB 63'!A15,'บันทึกรายการ 63'!$I$7:$I$985)</f>
        <v>75000</v>
      </c>
      <c r="G15" s="15">
        <f>-SUMIF('บันทึกรายการ 63'!$B$7:$B$994,'TB 63'!A15,'บันทึกรายการ 63'!$J$7:$J$994)</f>
        <v>-75000</v>
      </c>
      <c r="H15" s="17">
        <f t="shared" ca="1" si="0"/>
        <v>-15000</v>
      </c>
    </row>
    <row r="16" spans="1:12">
      <c r="A16" t="s">
        <v>394</v>
      </c>
      <c r="B16" t="s">
        <v>395</v>
      </c>
      <c r="D16" s="15">
        <v>-600</v>
      </c>
      <c r="E16" s="16"/>
      <c r="F16" s="15">
        <f ca="1">SUMIF('บันทึกรายการ 63'!$B$7:$B$994,'TB 63'!A16,'บันทึกรายการ 63'!$I$7:$I$985)</f>
        <v>0</v>
      </c>
      <c r="G16" s="15">
        <f>-SUMIF('บันทึกรายการ 63'!$B$7:$B$994,'TB 63'!A16,'บันทึกรายการ 63'!$J$7:$J$994)</f>
        <v>-200</v>
      </c>
      <c r="H16" s="17">
        <f ca="1">D16+F16+G16</f>
        <v>-800</v>
      </c>
    </row>
    <row r="17" spans="1:12">
      <c r="A17" t="s">
        <v>24</v>
      </c>
      <c r="B17" t="s">
        <v>25</v>
      </c>
      <c r="D17" s="15">
        <v>-32125</v>
      </c>
      <c r="E17" s="16"/>
      <c r="F17" s="15">
        <f ca="1">SUMIF('บันทึกรายการ 63'!$B$7:$B$994,'TB 63'!A17,'บันทึกรายการ 63'!$I$7:$I$985)</f>
        <v>32125</v>
      </c>
      <c r="G17" s="15">
        <f>-SUMIF('บันทึกรายการ 63'!$B$7:$B$994,'TB 63'!A17,'บันทึกรายการ 63'!$J$7:$J$994)</f>
        <v>0</v>
      </c>
      <c r="H17" s="17">
        <f t="shared" ca="1" si="0"/>
        <v>0</v>
      </c>
      <c r="I17" s="15"/>
      <c r="J17" s="15"/>
      <c r="K17" s="15"/>
      <c r="L17" s="15"/>
    </row>
    <row r="18" spans="1:12">
      <c r="A18" t="s">
        <v>26</v>
      </c>
      <c r="B18" t="s">
        <v>27</v>
      </c>
      <c r="D18" s="15">
        <v>-34200</v>
      </c>
      <c r="E18" s="16"/>
      <c r="F18" s="15">
        <f ca="1">SUMIF('บันทึกรายการ 63'!$B$7:$B$994,'TB 63'!A18,'บันทึกรายการ 63'!$I$7:$I$985)</f>
        <v>0</v>
      </c>
      <c r="G18" s="15">
        <f>-SUMIF('บันทึกรายการ 63'!$B$7:$B$994,'TB 63'!A18,'บันทึกรายการ 63'!$J$7:$J$994)</f>
        <v>-19200</v>
      </c>
      <c r="H18" s="17">
        <f ca="1">D18+F18+G18</f>
        <v>-53400</v>
      </c>
      <c r="I18" s="1"/>
    </row>
    <row r="19" spans="1:12">
      <c r="A19" t="s">
        <v>28</v>
      </c>
      <c r="B19" t="s">
        <v>29</v>
      </c>
      <c r="D19" s="15">
        <v>-8100</v>
      </c>
      <c r="E19" s="16"/>
      <c r="F19" s="15">
        <f ca="1">SUMIF('บันทึกรายการ 63'!$B$7:$B$994,'TB 63'!A19,'บันทึกรายการ 63'!$I$7:$I$985)</f>
        <v>0</v>
      </c>
      <c r="G19" s="15">
        <f>-SUMIF('บันทึกรายการ 63'!$B$7:$B$994,'TB 63'!A19,'บันทึกรายการ 63'!$J$7:$J$994)</f>
        <v>0</v>
      </c>
      <c r="H19" s="17">
        <f t="shared" ca="1" si="0"/>
        <v>-8100</v>
      </c>
    </row>
    <row r="20" spans="1:12">
      <c r="A20" t="s">
        <v>30</v>
      </c>
      <c r="B20" t="s">
        <v>31</v>
      </c>
      <c r="D20" s="15">
        <v>-1057329</v>
      </c>
      <c r="E20" s="16"/>
      <c r="F20" s="15">
        <f ca="1">SUMIF('บันทึกรายการ 63'!$B$7:$B$994,'TB 63'!A20,'บันทึกรายการ 63'!$I$7:$I$985)</f>
        <v>0</v>
      </c>
      <c r="G20" s="15">
        <f>-SUMIF('บันทึกรายการ 63'!$B$7:$B$994,'TB 63'!A20,'บันทึกรายการ 63'!$J$7:$J$994)</f>
        <v>0</v>
      </c>
      <c r="H20" s="17">
        <f t="shared" ca="1" si="0"/>
        <v>-1057329</v>
      </c>
    </row>
    <row r="21" spans="1:12">
      <c r="A21" t="s">
        <v>32</v>
      </c>
      <c r="B21" t="s">
        <v>33</v>
      </c>
      <c r="D21" s="15">
        <f>-5918.53-130051.53</f>
        <v>-135970.06</v>
      </c>
      <c r="E21" s="16"/>
      <c r="F21" s="15">
        <f ca="1">SUMIF('บันทึกรายการ 63'!$B$7:$B$994,'TB 63'!A21,'บันทึกรายการ 63'!$I$7:$I$985)</f>
        <v>0</v>
      </c>
      <c r="G21" s="15">
        <f>-SUMIF('บันทึกรายการ 63'!$B$7:$B$994,'TB 63'!A21,'บันทึกรายการ 63'!$J$7:$J$994)</f>
        <v>0</v>
      </c>
      <c r="H21" s="17">
        <f t="shared" ca="1" si="0"/>
        <v>-135970.06</v>
      </c>
    </row>
    <row r="22" spans="1:12">
      <c r="D22" s="15"/>
      <c r="E22" s="16"/>
      <c r="F22" s="15"/>
      <c r="G22" s="15"/>
      <c r="H22" s="17"/>
    </row>
    <row r="23" spans="1:12">
      <c r="D23" s="15"/>
      <c r="E23" s="16"/>
      <c r="F23" s="15"/>
      <c r="G23" s="15"/>
      <c r="H23" s="17"/>
    </row>
    <row r="24" spans="1:12">
      <c r="A24" t="s">
        <v>34</v>
      </c>
      <c r="B24" t="s">
        <v>35</v>
      </c>
      <c r="D24" s="15"/>
      <c r="E24" s="16"/>
      <c r="F24" s="15">
        <f ca="1">SUMIF('บันทึกรายการ 63'!$B$7:$B$994,'TB 63'!A24,'บันทึกรายการ 63'!$I$7:$I$985)</f>
        <v>7200</v>
      </c>
      <c r="G24" s="15">
        <f>-SUMIF('บันทึกรายการ 63'!$B$7:$B$994,'TB 63'!A24,'บันทึกรายการ 63'!$J$7:$J$994)</f>
        <v>-445629.16000000015</v>
      </c>
      <c r="H24" s="17">
        <f t="shared" ca="1" si="0"/>
        <v>-438429.16000000015</v>
      </c>
    </row>
    <row r="25" spans="1:12">
      <c r="A25" t="s">
        <v>36</v>
      </c>
      <c r="B25" t="s">
        <v>37</v>
      </c>
      <c r="D25" s="15"/>
      <c r="E25" s="16"/>
      <c r="F25" s="15">
        <f ca="1">SUMIF('บันทึกรายการ 63'!$B$7:$B$994,'TB 63'!A25,'บันทึกรายการ 63'!$I$7:$I$985)</f>
        <v>0</v>
      </c>
      <c r="G25" s="15">
        <f>-SUMIF('บันทึกรายการ 63'!$B$7:$B$994,'TB 63'!A25,'บันทึกรายการ 63'!$J$7:$J$994)</f>
        <v>0</v>
      </c>
      <c r="H25" s="17">
        <f t="shared" ca="1" si="0"/>
        <v>0</v>
      </c>
    </row>
    <row r="26" spans="1:12">
      <c r="A26" t="s">
        <v>38</v>
      </c>
      <c r="B26" t="s">
        <v>39</v>
      </c>
      <c r="D26" s="15"/>
      <c r="E26" s="16"/>
      <c r="F26" s="15">
        <f ca="1">SUMIF('บันทึกรายการ 63'!$B$7:$B$994,'TB 63'!A26,'บันทึกรายการ 63'!$I$7:$I$985)</f>
        <v>0</v>
      </c>
      <c r="G26" s="15">
        <f>-SUMIF('บันทึกรายการ 63'!$B$7:$B$994,'TB 63'!A26,'บันทึกรายการ 63'!$J$7:$J$994)</f>
        <v>0</v>
      </c>
      <c r="H26" s="17">
        <f t="shared" ca="1" si="0"/>
        <v>0</v>
      </c>
    </row>
    <row r="27" spans="1:12">
      <c r="A27" t="s">
        <v>40</v>
      </c>
      <c r="B27" t="s">
        <v>41</v>
      </c>
      <c r="D27" s="15"/>
      <c r="E27" s="16"/>
      <c r="F27" s="15">
        <f ca="1">SUMIF('บันทึกรายการ 63'!$B$7:$B$994,'TB 63'!A27,'บันทึกรายการ 63'!$I$7:$I$985)</f>
        <v>0</v>
      </c>
      <c r="G27" s="15">
        <f>-SUMIF('บันทึกรายการ 63'!$B$7:$B$994,'TB 63'!A27,'บันทึกรายการ 63'!$J$7:$J$994)</f>
        <v>0</v>
      </c>
      <c r="H27" s="17">
        <f t="shared" ca="1" si="0"/>
        <v>0</v>
      </c>
    </row>
    <row r="28" spans="1:12">
      <c r="A28" t="s">
        <v>42</v>
      </c>
      <c r="B28" t="s">
        <v>43</v>
      </c>
      <c r="D28" s="15"/>
      <c r="E28" s="16"/>
      <c r="F28" s="15">
        <f ca="1">SUMIF('บันทึกรายการ 63'!$B$7:$B$994,'TB 63'!A28,'บันทึกรายการ 63'!$I$7:$I$985)</f>
        <v>83726.7</v>
      </c>
      <c r="G28" s="15">
        <f>-SUMIF('บันทึกรายการ 63'!$B$7:$B$994,'TB 63'!A28,'บันทึกรายการ 63'!$J$7:$J$994)</f>
        <v>0</v>
      </c>
      <c r="H28" s="17">
        <f t="shared" ca="1" si="0"/>
        <v>83726.7</v>
      </c>
    </row>
    <row r="29" spans="1:12">
      <c r="A29" t="s">
        <v>44</v>
      </c>
      <c r="B29" t="s">
        <v>45</v>
      </c>
      <c r="D29" s="15"/>
      <c r="E29" s="16"/>
      <c r="F29" s="15">
        <f ca="1">SUMIF('บันทึกรายการ 63'!$B$7:$B$994,'TB 63'!A29,'บันทึกรายการ 63'!$I$7:$I$985)</f>
        <v>1720</v>
      </c>
      <c r="G29" s="15">
        <f>-SUMIF('บันทึกรายการ 63'!$B$7:$B$994,'TB 63'!A29,'บันทึกรายการ 63'!$J$7:$J$994)</f>
        <v>0</v>
      </c>
      <c r="H29" s="17">
        <f t="shared" ca="1" si="0"/>
        <v>1720</v>
      </c>
    </row>
    <row r="30" spans="1:12">
      <c r="A30" t="s">
        <v>46</v>
      </c>
      <c r="B30" t="s">
        <v>47</v>
      </c>
      <c r="D30" s="15"/>
      <c r="E30" s="16"/>
      <c r="F30" s="15">
        <f ca="1">SUMIF('บันทึกรายการ 63'!$B$7:$B$994,'TB 63'!A30,'บันทึกรายการ 63'!$I$7:$I$985)</f>
        <v>75000</v>
      </c>
      <c r="G30" s="15">
        <f>-SUMIF('บันทึกรายการ 63'!$B$7:$B$994,'TB 63'!A30,'บันทึกรายการ 63'!$J$7:$J$994)</f>
        <v>0</v>
      </c>
      <c r="H30" s="17">
        <f t="shared" ca="1" si="0"/>
        <v>75000</v>
      </c>
    </row>
    <row r="31" spans="1:12">
      <c r="A31" t="s">
        <v>48</v>
      </c>
      <c r="B31" t="s">
        <v>49</v>
      </c>
      <c r="D31" s="15"/>
      <c r="E31" s="16"/>
      <c r="F31" s="15">
        <f ca="1">SUMIF('บันทึกรายการ 63'!$B$7:$B$994,'TB 63'!A31,'บันทึกรายการ 63'!$I$7:$I$985)</f>
        <v>193490.46000000002</v>
      </c>
      <c r="G31" s="15">
        <f>-SUMIF('บันทึกรายการ 63'!$B$7:$B$994,'TB 63'!A31,'บันทึกรายการ 63'!$J$7:$J$994)</f>
        <v>0</v>
      </c>
      <c r="H31" s="17">
        <f t="shared" ca="1" si="0"/>
        <v>193490.46000000002</v>
      </c>
    </row>
    <row r="32" spans="1:12">
      <c r="A32" t="s">
        <v>50</v>
      </c>
      <c r="B32" t="s">
        <v>51</v>
      </c>
      <c r="D32" s="15"/>
      <c r="E32" s="16"/>
      <c r="F32" s="15">
        <f ca="1">SUMIF('บันทึกรายการ 63'!$B$7:$B$994,'TB 63'!A32,'บันทึกรายการ 63'!$I$7:$I$985)</f>
        <v>15000</v>
      </c>
      <c r="G32" s="15">
        <f>-SUMIF('บันทึกรายการ 63'!$B$7:$B$994,'TB 63'!A32,'บันทึกรายการ 63'!$J$7:$J$994)</f>
        <v>0</v>
      </c>
      <c r="H32" s="17">
        <f t="shared" ca="1" si="0"/>
        <v>15000</v>
      </c>
    </row>
    <row r="33" spans="1:8">
      <c r="A33" t="s">
        <v>52</v>
      </c>
      <c r="B33" t="s">
        <v>53</v>
      </c>
      <c r="D33" s="15"/>
      <c r="E33" s="16"/>
      <c r="F33" s="15">
        <f ca="1">SUMIF('บันทึกรายการ 63'!$B$7:$B$994,'TB 63'!A33,'บันทึกรายการ 63'!$I$7:$I$985)</f>
        <v>22500</v>
      </c>
      <c r="G33" s="15">
        <f>-SUMIF('บันทึกรายการ 63'!$B$7:$B$994,'TB 63'!A33,'บันทึกรายการ 63'!$J$7:$J$994)</f>
        <v>0</v>
      </c>
      <c r="H33" s="17">
        <f t="shared" ca="1" si="0"/>
        <v>22500</v>
      </c>
    </row>
    <row r="34" spans="1:8">
      <c r="A34" t="s">
        <v>54</v>
      </c>
      <c r="B34" t="s">
        <v>55</v>
      </c>
      <c r="D34" s="15"/>
      <c r="E34" s="16"/>
      <c r="F34" s="15">
        <f ca="1">SUMIF('บันทึกรายการ 63'!$B$7:$B$994,'TB 63'!A34,'บันทึกรายการ 63'!$I$7:$I$985)</f>
        <v>27572.57</v>
      </c>
      <c r="G34" s="15">
        <f>-SUMIF('บันทึกรายการ 63'!$B$7:$B$994,'TB 63'!A34,'บันทึกรายการ 63'!$J$7:$J$994)</f>
        <v>0</v>
      </c>
      <c r="H34" s="17">
        <f t="shared" ca="1" si="0"/>
        <v>27572.57</v>
      </c>
    </row>
    <row r="35" spans="1:8">
      <c r="A35" t="s">
        <v>56</v>
      </c>
      <c r="B35" t="s">
        <v>57</v>
      </c>
      <c r="D35" s="15"/>
      <c r="E35" s="16"/>
      <c r="F35" s="15">
        <f ca="1">SUMIF('บันทึกรายการ 63'!$B$7:$B$994,'TB 63'!A35,'บันทึกรายการ 63'!$I$7:$I$985)</f>
        <v>0</v>
      </c>
      <c r="G35" s="15">
        <f>-SUMIF('บันทึกรายการ 63'!$B$7:$B$994,'TB 63'!A35,'บันทึกรายการ 63'!$J$7:$J$994)</f>
        <v>0</v>
      </c>
      <c r="H35" s="17">
        <f t="shared" ca="1" si="0"/>
        <v>0</v>
      </c>
    </row>
    <row r="36" spans="1:8">
      <c r="A36" t="s">
        <v>58</v>
      </c>
      <c r="B36" t="s">
        <v>59</v>
      </c>
      <c r="D36" s="15"/>
      <c r="E36" s="16"/>
      <c r="F36" s="15">
        <f ca="1">SUMIF('บันทึกรายการ 63'!$B$7:$B$994,'TB 63'!A36,'บันทึกรายการ 63'!$I$7:$I$985)</f>
        <v>2000</v>
      </c>
      <c r="G36" s="15">
        <f>-SUMIF('บันทึกรายการ 63'!$B$7:$B$994,'TB 63'!A36,'บันทึกรายการ 63'!$J$7:$J$994)</f>
        <v>0</v>
      </c>
      <c r="H36" s="17">
        <f t="shared" ca="1" si="0"/>
        <v>2000</v>
      </c>
    </row>
    <row r="37" spans="1:8">
      <c r="A37" t="s">
        <v>976</v>
      </c>
      <c r="B37" t="s">
        <v>977</v>
      </c>
      <c r="D37" s="15"/>
      <c r="E37" s="16"/>
      <c r="F37" s="15">
        <f ca="1">SUMIF('บันทึกรายการ 63'!$B$7:$B$994,'TB 63'!A37,'บันทึกรายการ 63'!$I$7:$I$985)</f>
        <v>9998</v>
      </c>
      <c r="G37" s="15">
        <f>-SUMIF('บันทึกรายการ 63'!$B$7:$B$994,'TB 63'!A37,'บันทึกรายการ 63'!$J$7:$J$994)</f>
        <v>0</v>
      </c>
      <c r="H37" s="17">
        <f t="shared" ref="H37" ca="1" si="1">D37+F37+G37</f>
        <v>9998</v>
      </c>
    </row>
    <row r="38" spans="1:8">
      <c r="A38" t="s">
        <v>60</v>
      </c>
      <c r="B38" t="s">
        <v>61</v>
      </c>
      <c r="D38" s="15"/>
      <c r="E38" s="16"/>
      <c r="F38" s="15">
        <f ca="1">SUMIF('บันทึกรายการ 63'!$B$7:$B$994,'TB 63'!A38,'บันทึกรายการ 63'!$I$7:$I$985)</f>
        <v>0</v>
      </c>
      <c r="G38" s="15">
        <f>-SUMIF('บันทึกรายการ 63'!$B$7:$B$994,'TB 63'!A38,'บันทึกรายการ 63'!$J$7:$J$994)</f>
        <v>0</v>
      </c>
      <c r="H38" s="17">
        <f t="shared" ca="1" si="0"/>
        <v>0</v>
      </c>
    </row>
    <row r="40" spans="1:8">
      <c r="D40" s="23">
        <f>SUM(D3:D39)</f>
        <v>2.9103830456733704E-10</v>
      </c>
      <c r="E40" s="23"/>
      <c r="G40" s="23"/>
      <c r="H40" s="23"/>
    </row>
    <row r="41" spans="1:8" ht="15.75" thickBot="1">
      <c r="D41" s="18">
        <f>SUM(D24:D38)</f>
        <v>0</v>
      </c>
      <c r="E41" s="19"/>
      <c r="F41" s="18">
        <f ca="1">SUM(F24:F38)</f>
        <v>438207.73000000004</v>
      </c>
      <c r="G41" s="18">
        <f>SUM(G24:G38)</f>
        <v>-445629.16000000015</v>
      </c>
      <c r="H41" s="18">
        <f ca="1">SUM(H24:H38)</f>
        <v>-7421.4300000001167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F79"/>
  <sheetViews>
    <sheetView topLeftCell="A9" workbookViewId="0">
      <selection activeCell="B24" sqref="B24"/>
    </sheetView>
  </sheetViews>
  <sheetFormatPr defaultRowHeight="15"/>
  <cols>
    <col min="2" max="2" width="35.85546875" bestFit="1" customWidth="1"/>
    <col min="3" max="3" width="11.7109375" customWidth="1"/>
    <col min="4" max="4" width="10.5703125" bestFit="1" customWidth="1"/>
    <col min="5" max="5" width="9.5703125" bestFit="1" customWidth="1"/>
    <col min="6" max="6" width="10.5703125" bestFit="1" customWidth="1"/>
  </cols>
  <sheetData>
    <row r="2" spans="1:3" ht="15.75" thickBot="1">
      <c r="A2" s="14" t="s">
        <v>392</v>
      </c>
      <c r="B2" s="13"/>
      <c r="C2" s="13"/>
    </row>
    <row r="3" spans="1:3">
      <c r="A3" t="s">
        <v>0</v>
      </c>
      <c r="B3" t="s">
        <v>1</v>
      </c>
    </row>
    <row r="4" spans="1:3">
      <c r="A4" t="s">
        <v>2</v>
      </c>
      <c r="B4" t="s">
        <v>387</v>
      </c>
    </row>
    <row r="5" spans="1:3">
      <c r="A5" t="s">
        <v>3</v>
      </c>
      <c r="B5" t="s">
        <v>388</v>
      </c>
    </row>
    <row r="6" spans="1:3">
      <c r="A6" t="s">
        <v>4</v>
      </c>
      <c r="B6" t="s">
        <v>5</v>
      </c>
    </row>
    <row r="7" spans="1:3">
      <c r="A7" t="s">
        <v>6</v>
      </c>
      <c r="B7" t="s">
        <v>7</v>
      </c>
    </row>
    <row r="8" spans="1:3">
      <c r="A8" t="s">
        <v>8</v>
      </c>
      <c r="B8" t="s">
        <v>9</v>
      </c>
    </row>
    <row r="9" spans="1:3">
      <c r="A9" t="s">
        <v>10</v>
      </c>
      <c r="B9" t="s">
        <v>11</v>
      </c>
    </row>
    <row r="10" spans="1:3">
      <c r="A10" t="s">
        <v>12</v>
      </c>
      <c r="B10" t="s">
        <v>13</v>
      </c>
    </row>
    <row r="11" spans="1:3">
      <c r="A11" t="s">
        <v>14</v>
      </c>
      <c r="B11" t="s">
        <v>15</v>
      </c>
    </row>
    <row r="12" spans="1:3">
      <c r="A12" t="s">
        <v>16</v>
      </c>
      <c r="B12" t="s">
        <v>17</v>
      </c>
    </row>
    <row r="13" spans="1:3">
      <c r="A13" t="s">
        <v>18</v>
      </c>
      <c r="B13" t="s">
        <v>19</v>
      </c>
    </row>
    <row r="14" spans="1:3">
      <c r="A14" t="s">
        <v>20</v>
      </c>
      <c r="B14" t="s">
        <v>21</v>
      </c>
    </row>
    <row r="15" spans="1:3">
      <c r="A15" t="s">
        <v>22</v>
      </c>
      <c r="B15" t="s">
        <v>23</v>
      </c>
    </row>
    <row r="16" spans="1:3">
      <c r="A16" t="s">
        <v>394</v>
      </c>
      <c r="B16" t="s">
        <v>395</v>
      </c>
    </row>
    <row r="17" spans="1:6">
      <c r="A17" t="s">
        <v>398</v>
      </c>
      <c r="B17" t="s">
        <v>25</v>
      </c>
      <c r="D17" s="15"/>
      <c r="E17" s="15"/>
      <c r="F17" s="15"/>
    </row>
    <row r="18" spans="1:6">
      <c r="A18" t="s">
        <v>26</v>
      </c>
      <c r="B18" t="s">
        <v>27</v>
      </c>
    </row>
    <row r="19" spans="1:6">
      <c r="A19" t="s">
        <v>28</v>
      </c>
      <c r="B19" t="s">
        <v>29</v>
      </c>
    </row>
    <row r="20" spans="1:6">
      <c r="A20" t="s">
        <v>30</v>
      </c>
      <c r="B20" t="s">
        <v>31</v>
      </c>
    </row>
    <row r="21" spans="1:6">
      <c r="A21" t="s">
        <v>32</v>
      </c>
      <c r="B21" t="s">
        <v>33</v>
      </c>
    </row>
    <row r="24" spans="1:6">
      <c r="A24" t="s">
        <v>34</v>
      </c>
      <c r="B24" t="s">
        <v>35</v>
      </c>
    </row>
    <row r="25" spans="1:6">
      <c r="A25" t="s">
        <v>36</v>
      </c>
      <c r="B25" t="s">
        <v>37</v>
      </c>
    </row>
    <row r="26" spans="1:6">
      <c r="A26" t="s">
        <v>38</v>
      </c>
      <c r="B26" t="s">
        <v>39</v>
      </c>
    </row>
    <row r="27" spans="1:6">
      <c r="A27" t="s">
        <v>40</v>
      </c>
      <c r="B27" t="s">
        <v>41</v>
      </c>
    </row>
    <row r="28" spans="1:6">
      <c r="A28" t="s">
        <v>42</v>
      </c>
      <c r="B28" t="s">
        <v>43</v>
      </c>
    </row>
    <row r="29" spans="1:6">
      <c r="A29" t="s">
        <v>44</v>
      </c>
      <c r="B29" t="s">
        <v>45</v>
      </c>
    </row>
    <row r="30" spans="1:6">
      <c r="A30" t="s">
        <v>46</v>
      </c>
      <c r="B30" t="s">
        <v>47</v>
      </c>
    </row>
    <row r="31" spans="1:6">
      <c r="A31" t="s">
        <v>48</v>
      </c>
      <c r="B31" t="s">
        <v>49</v>
      </c>
    </row>
    <row r="32" spans="1:6">
      <c r="A32" t="s">
        <v>50</v>
      </c>
      <c r="B32" t="s">
        <v>51</v>
      </c>
    </row>
    <row r="33" spans="1:3">
      <c r="A33" t="s">
        <v>52</v>
      </c>
      <c r="B33" t="s">
        <v>53</v>
      </c>
    </row>
    <row r="34" spans="1:3">
      <c r="A34" t="s">
        <v>54</v>
      </c>
      <c r="B34" t="s">
        <v>55</v>
      </c>
    </row>
    <row r="35" spans="1:3">
      <c r="A35" t="s">
        <v>56</v>
      </c>
      <c r="B35" t="s">
        <v>57</v>
      </c>
    </row>
    <row r="36" spans="1:3">
      <c r="A36" t="s">
        <v>58</v>
      </c>
      <c r="B36" t="s">
        <v>59</v>
      </c>
    </row>
    <row r="37" spans="1:3">
      <c r="A37" t="s">
        <v>976</v>
      </c>
      <c r="B37" t="s">
        <v>977</v>
      </c>
    </row>
    <row r="38" spans="1:3">
      <c r="A38" t="s">
        <v>60</v>
      </c>
      <c r="B38" t="s">
        <v>61</v>
      </c>
    </row>
    <row r="45" spans="1:3">
      <c r="A45" t="s">
        <v>393</v>
      </c>
    </row>
    <row r="46" spans="1:3" ht="15.75" thickBot="1">
      <c r="A46" s="14" t="s">
        <v>392</v>
      </c>
      <c r="B46" s="14"/>
      <c r="C46" s="14"/>
    </row>
    <row r="47" spans="1:3">
      <c r="A47" t="s">
        <v>0</v>
      </c>
      <c r="B47" t="s">
        <v>1</v>
      </c>
    </row>
    <row r="48" spans="1:3">
      <c r="A48" t="s">
        <v>2</v>
      </c>
      <c r="B48" t="s">
        <v>387</v>
      </c>
    </row>
    <row r="49" spans="1:2">
      <c r="A49" t="s">
        <v>3</v>
      </c>
      <c r="B49" t="s">
        <v>388</v>
      </c>
    </row>
    <row r="50" spans="1:2">
      <c r="A50" t="s">
        <v>4</v>
      </c>
      <c r="B50" t="s">
        <v>5</v>
      </c>
    </row>
    <row r="51" spans="1:2">
      <c r="A51" t="s">
        <v>6</v>
      </c>
      <c r="B51" t="s">
        <v>7</v>
      </c>
    </row>
    <row r="52" spans="1:2">
      <c r="A52" t="s">
        <v>8</v>
      </c>
      <c r="B52" t="s">
        <v>9</v>
      </c>
    </row>
    <row r="53" spans="1:2">
      <c r="A53" t="s">
        <v>10</v>
      </c>
      <c r="B53" t="s">
        <v>11</v>
      </c>
    </row>
    <row r="54" spans="1:2">
      <c r="A54" t="s">
        <v>12</v>
      </c>
      <c r="B54" t="s">
        <v>13</v>
      </c>
    </row>
    <row r="55" spans="1:2">
      <c r="A55" t="s">
        <v>14</v>
      </c>
      <c r="B55" t="s">
        <v>15</v>
      </c>
    </row>
    <row r="56" spans="1:2">
      <c r="A56" t="s">
        <v>16</v>
      </c>
      <c r="B56" t="s">
        <v>17</v>
      </c>
    </row>
    <row r="57" spans="1:2">
      <c r="A57" t="s">
        <v>18</v>
      </c>
      <c r="B57" t="s">
        <v>19</v>
      </c>
    </row>
    <row r="58" spans="1:2">
      <c r="A58" t="s">
        <v>20</v>
      </c>
      <c r="B58" t="s">
        <v>21</v>
      </c>
    </row>
    <row r="59" spans="1:2">
      <c r="A59" t="s">
        <v>22</v>
      </c>
      <c r="B59" t="s">
        <v>23</v>
      </c>
    </row>
    <row r="60" spans="1:2">
      <c r="A60" t="s">
        <v>24</v>
      </c>
      <c r="B60" t="s">
        <v>25</v>
      </c>
    </row>
    <row r="61" spans="1:2">
      <c r="A61" t="s">
        <v>26</v>
      </c>
      <c r="B61" t="s">
        <v>27</v>
      </c>
    </row>
    <row r="62" spans="1:2">
      <c r="A62" t="s">
        <v>28</v>
      </c>
      <c r="B62" t="s">
        <v>29</v>
      </c>
    </row>
    <row r="63" spans="1:2">
      <c r="A63" t="s">
        <v>30</v>
      </c>
      <c r="B63" t="s">
        <v>31</v>
      </c>
    </row>
    <row r="64" spans="1:2">
      <c r="A64" t="s">
        <v>32</v>
      </c>
      <c r="B64" t="s">
        <v>33</v>
      </c>
    </row>
    <row r="66" spans="1:2">
      <c r="A66" t="s">
        <v>34</v>
      </c>
      <c r="B66" t="s">
        <v>35</v>
      </c>
    </row>
    <row r="67" spans="1:2">
      <c r="A67" t="s">
        <v>36</v>
      </c>
      <c r="B67" t="s">
        <v>37</v>
      </c>
    </row>
    <row r="68" spans="1:2">
      <c r="A68" t="s">
        <v>38</v>
      </c>
      <c r="B68" t="s">
        <v>39</v>
      </c>
    </row>
    <row r="69" spans="1:2">
      <c r="A69" t="s">
        <v>40</v>
      </c>
      <c r="B69" t="s">
        <v>41</v>
      </c>
    </row>
    <row r="70" spans="1:2">
      <c r="A70" t="s">
        <v>42</v>
      </c>
      <c r="B70" t="s">
        <v>43</v>
      </c>
    </row>
    <row r="71" spans="1:2">
      <c r="A71" t="s">
        <v>44</v>
      </c>
      <c r="B71" t="s">
        <v>45</v>
      </c>
    </row>
    <row r="72" spans="1:2">
      <c r="A72" t="s">
        <v>46</v>
      </c>
      <c r="B72" t="s">
        <v>47</v>
      </c>
    </row>
    <row r="73" spans="1:2">
      <c r="A73" t="s">
        <v>48</v>
      </c>
      <c r="B73" t="s">
        <v>49</v>
      </c>
    </row>
    <row r="74" spans="1:2">
      <c r="A74" t="s">
        <v>50</v>
      </c>
      <c r="B74" t="s">
        <v>51</v>
      </c>
    </row>
    <row r="75" spans="1:2">
      <c r="A75" t="s">
        <v>52</v>
      </c>
      <c r="B75" t="s">
        <v>53</v>
      </c>
    </row>
    <row r="76" spans="1:2">
      <c r="A76" t="s">
        <v>54</v>
      </c>
      <c r="B76" t="s">
        <v>55</v>
      </c>
    </row>
    <row r="77" spans="1:2">
      <c r="A77" t="s">
        <v>56</v>
      </c>
      <c r="B77" t="s">
        <v>57</v>
      </c>
    </row>
    <row r="78" spans="1:2">
      <c r="A78" t="s">
        <v>58</v>
      </c>
      <c r="B78" t="s">
        <v>59</v>
      </c>
    </row>
    <row r="79" spans="1:2">
      <c r="A79" t="s">
        <v>60</v>
      </c>
      <c r="B79" t="s">
        <v>61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76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7"/>
  <sheetViews>
    <sheetView tabSelected="1" topLeftCell="A94" workbookViewId="0">
      <selection activeCell="K12" sqref="K12"/>
    </sheetView>
  </sheetViews>
  <sheetFormatPr defaultRowHeight="15"/>
  <cols>
    <col min="2" max="2" width="45.140625" bestFit="1" customWidth="1"/>
  </cols>
  <sheetData>
    <row r="1" spans="1:2">
      <c r="A1" t="s">
        <v>93</v>
      </c>
      <c r="B1" t="s">
        <v>94</v>
      </c>
    </row>
    <row r="2" spans="1:2">
      <c r="A2" t="s">
        <v>95</v>
      </c>
      <c r="B2" t="s">
        <v>96</v>
      </c>
    </row>
    <row r="3" spans="1:2">
      <c r="A3" t="s">
        <v>97</v>
      </c>
      <c r="B3" t="s">
        <v>98</v>
      </c>
    </row>
    <row r="4" spans="1:2">
      <c r="A4" t="s">
        <v>99</v>
      </c>
      <c r="B4" t="s">
        <v>100</v>
      </c>
    </row>
    <row r="5" spans="1:2">
      <c r="A5" t="s">
        <v>101</v>
      </c>
      <c r="B5" t="s">
        <v>102</v>
      </c>
    </row>
    <row r="6" spans="1:2">
      <c r="A6" t="s">
        <v>103</v>
      </c>
      <c r="B6" t="s">
        <v>104</v>
      </c>
    </row>
    <row r="7" spans="1:2">
      <c r="A7" t="s">
        <v>105</v>
      </c>
      <c r="B7" t="s">
        <v>106</v>
      </c>
    </row>
    <row r="8" spans="1:2">
      <c r="A8" t="s">
        <v>107</v>
      </c>
      <c r="B8" t="s">
        <v>108</v>
      </c>
    </row>
    <row r="9" spans="1:2">
      <c r="A9" t="s">
        <v>109</v>
      </c>
      <c r="B9" t="s">
        <v>110</v>
      </c>
    </row>
    <row r="10" spans="1:2">
      <c r="A10" t="s">
        <v>111</v>
      </c>
      <c r="B10" t="s">
        <v>112</v>
      </c>
    </row>
    <row r="11" spans="1:2">
      <c r="A11" t="s">
        <v>113</v>
      </c>
      <c r="B11" t="s">
        <v>114</v>
      </c>
    </row>
    <row r="12" spans="1:2">
      <c r="A12" t="s">
        <v>115</v>
      </c>
      <c r="B12" t="s">
        <v>116</v>
      </c>
    </row>
    <row r="13" spans="1:2">
      <c r="A13" t="s">
        <v>117</v>
      </c>
      <c r="B13" t="s">
        <v>84</v>
      </c>
    </row>
    <row r="14" spans="1:2">
      <c r="A14" t="s">
        <v>118</v>
      </c>
      <c r="B14" t="s">
        <v>90</v>
      </c>
    </row>
    <row r="15" spans="1:2">
      <c r="A15" t="s">
        <v>119</v>
      </c>
      <c r="B15" t="s">
        <v>120</v>
      </c>
    </row>
    <row r="16" spans="1:2">
      <c r="A16" t="s">
        <v>121</v>
      </c>
      <c r="B16" t="s">
        <v>78</v>
      </c>
    </row>
    <row r="17" spans="1:2">
      <c r="A17" t="s">
        <v>122</v>
      </c>
      <c r="B17" t="s">
        <v>123</v>
      </c>
    </row>
    <row r="18" spans="1:2">
      <c r="A18" t="s">
        <v>124</v>
      </c>
      <c r="B18" t="s">
        <v>125</v>
      </c>
    </row>
    <row r="19" spans="1:2">
      <c r="A19" t="s">
        <v>126</v>
      </c>
      <c r="B19" t="s">
        <v>127</v>
      </c>
    </row>
    <row r="20" spans="1:2">
      <c r="A20" t="s">
        <v>128</v>
      </c>
      <c r="B20" t="s">
        <v>129</v>
      </c>
    </row>
    <row r="21" spans="1:2">
      <c r="A21" t="s">
        <v>130</v>
      </c>
      <c r="B21" t="s">
        <v>131</v>
      </c>
    </row>
    <row r="22" spans="1:2">
      <c r="A22" t="s">
        <v>132</v>
      </c>
      <c r="B22" t="s">
        <v>133</v>
      </c>
    </row>
    <row r="23" spans="1:2">
      <c r="A23" t="s">
        <v>134</v>
      </c>
      <c r="B23" t="s">
        <v>85</v>
      </c>
    </row>
    <row r="24" spans="1:2">
      <c r="A24" t="s">
        <v>135</v>
      </c>
      <c r="B24" t="s">
        <v>136</v>
      </c>
    </row>
    <row r="25" spans="1:2">
      <c r="A25" t="s">
        <v>137</v>
      </c>
      <c r="B25" t="s">
        <v>138</v>
      </c>
    </row>
    <row r="26" spans="1:2">
      <c r="A26" t="s">
        <v>139</v>
      </c>
      <c r="B26" t="s">
        <v>140</v>
      </c>
    </row>
    <row r="27" spans="1:2">
      <c r="A27" t="s">
        <v>141</v>
      </c>
      <c r="B27" t="s">
        <v>142</v>
      </c>
    </row>
    <row r="28" spans="1:2">
      <c r="A28" t="s">
        <v>143</v>
      </c>
      <c r="B28" t="s">
        <v>79</v>
      </c>
    </row>
    <row r="29" spans="1:2">
      <c r="A29" t="s">
        <v>144</v>
      </c>
      <c r="B29" t="s">
        <v>145</v>
      </c>
    </row>
    <row r="30" spans="1:2">
      <c r="A30" t="s">
        <v>146</v>
      </c>
      <c r="B30" t="s">
        <v>147</v>
      </c>
    </row>
    <row r="31" spans="1:2">
      <c r="A31" t="s">
        <v>148</v>
      </c>
      <c r="B31" t="s">
        <v>149</v>
      </c>
    </row>
    <row r="32" spans="1:2">
      <c r="A32" t="s">
        <v>150</v>
      </c>
      <c r="B32" t="s">
        <v>151</v>
      </c>
    </row>
    <row r="33" spans="1:2">
      <c r="A33" t="s">
        <v>152</v>
      </c>
      <c r="B33" t="s">
        <v>153</v>
      </c>
    </row>
    <row r="34" spans="1:2">
      <c r="A34" t="s">
        <v>154</v>
      </c>
      <c r="B34" t="s">
        <v>155</v>
      </c>
    </row>
    <row r="35" spans="1:2">
      <c r="A35" t="s">
        <v>156</v>
      </c>
      <c r="B35" t="s">
        <v>86</v>
      </c>
    </row>
    <row r="36" spans="1:2">
      <c r="A36" t="s">
        <v>157</v>
      </c>
      <c r="B36" t="s">
        <v>158</v>
      </c>
    </row>
    <row r="37" spans="1:2">
      <c r="A37" t="s">
        <v>72</v>
      </c>
      <c r="B37" t="s">
        <v>73</v>
      </c>
    </row>
    <row r="38" spans="1:2">
      <c r="A38" t="s">
        <v>159</v>
      </c>
      <c r="B38" t="s">
        <v>160</v>
      </c>
    </row>
    <row r="39" spans="1:2">
      <c r="A39" t="s">
        <v>161</v>
      </c>
      <c r="B39" t="s">
        <v>80</v>
      </c>
    </row>
    <row r="40" spans="1:2">
      <c r="A40" t="s">
        <v>69</v>
      </c>
      <c r="B40" t="s">
        <v>70</v>
      </c>
    </row>
    <row r="41" spans="1:2">
      <c r="A41" t="s">
        <v>162</v>
      </c>
      <c r="B41" t="s">
        <v>386</v>
      </c>
    </row>
    <row r="42" spans="1:2">
      <c r="A42" t="s">
        <v>163</v>
      </c>
      <c r="B42" t="s">
        <v>164</v>
      </c>
    </row>
    <row r="43" spans="1:2">
      <c r="A43" t="s">
        <v>165</v>
      </c>
      <c r="B43" t="s">
        <v>166</v>
      </c>
    </row>
    <row r="44" spans="1:2">
      <c r="A44" t="s">
        <v>71</v>
      </c>
      <c r="B44" s="5" t="s">
        <v>381</v>
      </c>
    </row>
    <row r="45" spans="1:2">
      <c r="A45" t="s">
        <v>167</v>
      </c>
      <c r="B45" t="s">
        <v>168</v>
      </c>
    </row>
    <row r="46" spans="1:2">
      <c r="A46" t="s">
        <v>169</v>
      </c>
      <c r="B46" t="s">
        <v>170</v>
      </c>
    </row>
    <row r="47" spans="1:2">
      <c r="A47" t="s">
        <v>171</v>
      </c>
      <c r="B47" t="s">
        <v>172</v>
      </c>
    </row>
    <row r="48" spans="1:2">
      <c r="A48" t="s">
        <v>173</v>
      </c>
      <c r="B48" t="s">
        <v>81</v>
      </c>
    </row>
    <row r="49" spans="1:2">
      <c r="A49" t="s">
        <v>174</v>
      </c>
      <c r="B49" t="s">
        <v>175</v>
      </c>
    </row>
    <row r="50" spans="1:2">
      <c r="A50" t="s">
        <v>176</v>
      </c>
      <c r="B50" t="s">
        <v>177</v>
      </c>
    </row>
    <row r="51" spans="1:2">
      <c r="A51" t="s">
        <v>178</v>
      </c>
      <c r="B51" t="s">
        <v>179</v>
      </c>
    </row>
    <row r="52" spans="1:2">
      <c r="A52" t="s">
        <v>180</v>
      </c>
      <c r="B52" t="s">
        <v>181</v>
      </c>
    </row>
    <row r="53" spans="1:2">
      <c r="A53" t="s">
        <v>182</v>
      </c>
      <c r="B53" t="s">
        <v>82</v>
      </c>
    </row>
    <row r="54" spans="1:2">
      <c r="A54" t="s">
        <v>183</v>
      </c>
      <c r="B54" t="s">
        <v>184</v>
      </c>
    </row>
    <row r="55" spans="1:2">
      <c r="A55" t="s">
        <v>185</v>
      </c>
      <c r="B55" t="s">
        <v>186</v>
      </c>
    </row>
    <row r="56" spans="1:2">
      <c r="A56" t="s">
        <v>187</v>
      </c>
      <c r="B56" t="s">
        <v>188</v>
      </c>
    </row>
    <row r="57" spans="1:2">
      <c r="A57" t="s">
        <v>189</v>
      </c>
      <c r="B57" t="s">
        <v>190</v>
      </c>
    </row>
    <row r="58" spans="1:2">
      <c r="A58" t="s">
        <v>191</v>
      </c>
      <c r="B58" t="s">
        <v>192</v>
      </c>
    </row>
    <row r="59" spans="1:2">
      <c r="A59" t="s">
        <v>193</v>
      </c>
      <c r="B59" t="s">
        <v>194</v>
      </c>
    </row>
    <row r="60" spans="1:2">
      <c r="A60" t="s">
        <v>372</v>
      </c>
      <c r="B60" t="s">
        <v>396</v>
      </c>
    </row>
    <row r="61" spans="1:2">
      <c r="A61" t="s">
        <v>195</v>
      </c>
      <c r="B61" t="s">
        <v>196</v>
      </c>
    </row>
    <row r="62" spans="1:2">
      <c r="A62" t="s">
        <v>373</v>
      </c>
      <c r="B62" t="s">
        <v>397</v>
      </c>
    </row>
    <row r="63" spans="1:2">
      <c r="A63" t="s">
        <v>197</v>
      </c>
      <c r="B63" t="s">
        <v>198</v>
      </c>
    </row>
    <row r="64" spans="1:2">
      <c r="A64" t="s">
        <v>199</v>
      </c>
      <c r="B64" t="s">
        <v>200</v>
      </c>
    </row>
    <row r="65" spans="1:2">
      <c r="A65" t="s">
        <v>201</v>
      </c>
      <c r="B65" t="s">
        <v>202</v>
      </c>
    </row>
    <row r="66" spans="1:2">
      <c r="A66" t="s">
        <v>203</v>
      </c>
      <c r="B66" t="s">
        <v>204</v>
      </c>
    </row>
    <row r="67" spans="1:2">
      <c r="A67" t="s">
        <v>205</v>
      </c>
      <c r="B67" t="s">
        <v>206</v>
      </c>
    </row>
    <row r="68" spans="1:2">
      <c r="A68" t="s">
        <v>207</v>
      </c>
      <c r="B68" t="s">
        <v>208</v>
      </c>
    </row>
    <row r="69" spans="1:2">
      <c r="A69" t="s">
        <v>209</v>
      </c>
      <c r="B69" t="s">
        <v>210</v>
      </c>
    </row>
    <row r="70" spans="1:2">
      <c r="A70" t="s">
        <v>211</v>
      </c>
      <c r="B70" t="s">
        <v>212</v>
      </c>
    </row>
    <row r="71" spans="1:2">
      <c r="A71" t="s">
        <v>213</v>
      </c>
      <c r="B71" t="s">
        <v>214</v>
      </c>
    </row>
    <row r="72" spans="1:2">
      <c r="A72" t="s">
        <v>215</v>
      </c>
      <c r="B72" t="s">
        <v>216</v>
      </c>
    </row>
    <row r="73" spans="1:2">
      <c r="A73" t="s">
        <v>217</v>
      </c>
      <c r="B73" t="s">
        <v>218</v>
      </c>
    </row>
    <row r="74" spans="1:2">
      <c r="A74" t="s">
        <v>219</v>
      </c>
      <c r="B74" t="s">
        <v>220</v>
      </c>
    </row>
    <row r="75" spans="1:2">
      <c r="A75" t="s">
        <v>221</v>
      </c>
      <c r="B75" t="s">
        <v>222</v>
      </c>
    </row>
    <row r="76" spans="1:2">
      <c r="A76" t="s">
        <v>223</v>
      </c>
      <c r="B76" t="s">
        <v>224</v>
      </c>
    </row>
    <row r="77" spans="1:2">
      <c r="A77" t="s">
        <v>225</v>
      </c>
      <c r="B77" t="s">
        <v>226</v>
      </c>
    </row>
    <row r="78" spans="1:2">
      <c r="A78" t="s">
        <v>227</v>
      </c>
      <c r="B78" t="s">
        <v>228</v>
      </c>
    </row>
    <row r="79" spans="1:2">
      <c r="A79" t="s">
        <v>229</v>
      </c>
      <c r="B79" t="s">
        <v>230</v>
      </c>
    </row>
    <row r="80" spans="1:2">
      <c r="A80" t="s">
        <v>231</v>
      </c>
      <c r="B80" t="s">
        <v>232</v>
      </c>
    </row>
    <row r="81" spans="1:2">
      <c r="A81" t="s">
        <v>233</v>
      </c>
      <c r="B81" t="s">
        <v>77</v>
      </c>
    </row>
    <row r="82" spans="1:2">
      <c r="A82" t="s">
        <v>234</v>
      </c>
      <c r="B82" t="s">
        <v>235</v>
      </c>
    </row>
    <row r="83" spans="1:2">
      <c r="A83" t="s">
        <v>236</v>
      </c>
      <c r="B83" t="s">
        <v>237</v>
      </c>
    </row>
    <row r="84" spans="1:2">
      <c r="A84" t="s">
        <v>87</v>
      </c>
      <c r="B84" t="s">
        <v>238</v>
      </c>
    </row>
    <row r="85" spans="1:2">
      <c r="A85" t="s">
        <v>239</v>
      </c>
      <c r="B85" t="s">
        <v>240</v>
      </c>
    </row>
    <row r="86" spans="1:2">
      <c r="A86" t="s">
        <v>241</v>
      </c>
      <c r="B86" t="s">
        <v>242</v>
      </c>
    </row>
    <row r="87" spans="1:2">
      <c r="A87" t="s">
        <v>243</v>
      </c>
      <c r="B87" t="s">
        <v>244</v>
      </c>
    </row>
    <row r="88" spans="1:2">
      <c r="A88" t="s">
        <v>245</v>
      </c>
      <c r="B88" t="s">
        <v>246</v>
      </c>
    </row>
    <row r="89" spans="1:2">
      <c r="A89" t="s">
        <v>247</v>
      </c>
      <c r="B89" t="s">
        <v>248</v>
      </c>
    </row>
    <row r="90" spans="1:2">
      <c r="A90" s="6" t="s">
        <v>374</v>
      </c>
      <c r="B90" s="6" t="s">
        <v>382</v>
      </c>
    </row>
    <row r="91" spans="1:2">
      <c r="A91" t="s">
        <v>375</v>
      </c>
      <c r="B91" t="s">
        <v>397</v>
      </c>
    </row>
    <row r="92" spans="1:2">
      <c r="A92" t="s">
        <v>249</v>
      </c>
      <c r="B92" t="s">
        <v>250</v>
      </c>
    </row>
    <row r="93" spans="1:2">
      <c r="A93" t="s">
        <v>251</v>
      </c>
      <c r="B93" t="s">
        <v>252</v>
      </c>
    </row>
    <row r="94" spans="1:2">
      <c r="A94" t="s">
        <v>253</v>
      </c>
      <c r="B94" t="s">
        <v>254</v>
      </c>
    </row>
    <row r="95" spans="1:2">
      <c r="A95" t="s">
        <v>255</v>
      </c>
      <c r="B95" t="s">
        <v>91</v>
      </c>
    </row>
    <row r="96" spans="1:2">
      <c r="A96" t="s">
        <v>74</v>
      </c>
      <c r="B96" t="s">
        <v>75</v>
      </c>
    </row>
    <row r="97" spans="1:2">
      <c r="A97" t="s">
        <v>256</v>
      </c>
      <c r="B97" t="s">
        <v>257</v>
      </c>
    </row>
    <row r="98" spans="1:2">
      <c r="A98" t="s">
        <v>258</v>
      </c>
      <c r="B98" t="s">
        <v>259</v>
      </c>
    </row>
    <row r="99" spans="1:2">
      <c r="A99" t="s">
        <v>260</v>
      </c>
      <c r="B99" t="s">
        <v>261</v>
      </c>
    </row>
    <row r="100" spans="1:2">
      <c r="A100" t="s">
        <v>262</v>
      </c>
      <c r="B100" t="s">
        <v>88</v>
      </c>
    </row>
    <row r="101" spans="1:2">
      <c r="A101" t="s">
        <v>263</v>
      </c>
      <c r="B101" t="s">
        <v>264</v>
      </c>
    </row>
    <row r="102" spans="1:2">
      <c r="A102" t="s">
        <v>265</v>
      </c>
      <c r="B102" t="s">
        <v>266</v>
      </c>
    </row>
    <row r="103" spans="1:2">
      <c r="A103" t="s">
        <v>267</v>
      </c>
      <c r="B103" t="s">
        <v>268</v>
      </c>
    </row>
    <row r="104" spans="1:2">
      <c r="A104" t="s">
        <v>269</v>
      </c>
      <c r="B104" t="s">
        <v>270</v>
      </c>
    </row>
    <row r="105" spans="1:2">
      <c r="A105" t="s">
        <v>271</v>
      </c>
      <c r="B105" t="s">
        <v>272</v>
      </c>
    </row>
    <row r="106" spans="1:2">
      <c r="A106" t="s">
        <v>273</v>
      </c>
      <c r="B106" t="s">
        <v>274</v>
      </c>
    </row>
    <row r="107" spans="1:2">
      <c r="A107" t="s">
        <v>275</v>
      </c>
      <c r="B107" t="s">
        <v>276</v>
      </c>
    </row>
    <row r="108" spans="1:2">
      <c r="A108" t="s">
        <v>277</v>
      </c>
      <c r="B108" t="s">
        <v>278</v>
      </c>
    </row>
    <row r="109" spans="1:2">
      <c r="A109" t="s">
        <v>279</v>
      </c>
      <c r="B109" t="s">
        <v>280</v>
      </c>
    </row>
    <row r="110" spans="1:2">
      <c r="A110" t="s">
        <v>281</v>
      </c>
      <c r="B110" t="s">
        <v>282</v>
      </c>
    </row>
    <row r="111" spans="1:2">
      <c r="A111" t="s">
        <v>283</v>
      </c>
      <c r="B111" t="s">
        <v>284</v>
      </c>
    </row>
    <row r="112" spans="1:2">
      <c r="A112" t="s">
        <v>285</v>
      </c>
      <c r="B112" t="s">
        <v>286</v>
      </c>
    </row>
    <row r="113" spans="1:2">
      <c r="A113" t="s">
        <v>287</v>
      </c>
      <c r="B113" t="s">
        <v>288</v>
      </c>
    </row>
    <row r="114" spans="1:2">
      <c r="A114" t="s">
        <v>289</v>
      </c>
      <c r="B114" t="s">
        <v>290</v>
      </c>
    </row>
    <row r="115" spans="1:2">
      <c r="A115" t="s">
        <v>291</v>
      </c>
      <c r="B115" t="s">
        <v>292</v>
      </c>
    </row>
    <row r="116" spans="1:2">
      <c r="A116" t="s">
        <v>293</v>
      </c>
      <c r="B116" t="s">
        <v>294</v>
      </c>
    </row>
    <row r="117" spans="1:2">
      <c r="A117" t="s">
        <v>295</v>
      </c>
      <c r="B117" t="s">
        <v>296</v>
      </c>
    </row>
    <row r="118" spans="1:2">
      <c r="A118" t="s">
        <v>92</v>
      </c>
      <c r="B118" t="s">
        <v>297</v>
      </c>
    </row>
    <row r="119" spans="1:2">
      <c r="A119" t="s">
        <v>298</v>
      </c>
      <c r="B119" t="s">
        <v>299</v>
      </c>
    </row>
    <row r="120" spans="1:2">
      <c r="A120" t="s">
        <v>300</v>
      </c>
      <c r="B120" t="s">
        <v>301</v>
      </c>
    </row>
    <row r="121" spans="1:2">
      <c r="A121" t="s">
        <v>302</v>
      </c>
      <c r="B121" t="s">
        <v>303</v>
      </c>
    </row>
    <row r="122" spans="1:2">
      <c r="A122" t="s">
        <v>304</v>
      </c>
      <c r="B122" t="s">
        <v>89</v>
      </c>
    </row>
    <row r="123" spans="1:2">
      <c r="A123" t="s">
        <v>305</v>
      </c>
      <c r="B123" t="s">
        <v>306</v>
      </c>
    </row>
    <row r="124" spans="1:2">
      <c r="A124" t="s">
        <v>307</v>
      </c>
      <c r="B124" t="s">
        <v>308</v>
      </c>
    </row>
    <row r="125" spans="1:2">
      <c r="A125" t="s">
        <v>309</v>
      </c>
      <c r="B125" t="s">
        <v>310</v>
      </c>
    </row>
    <row r="126" spans="1:2">
      <c r="A126" t="s">
        <v>311</v>
      </c>
      <c r="B126" t="s">
        <v>312</v>
      </c>
    </row>
    <row r="127" spans="1:2">
      <c r="A127" t="s">
        <v>313</v>
      </c>
      <c r="B127" t="s">
        <v>314</v>
      </c>
    </row>
    <row r="128" spans="1:2">
      <c r="A128" t="s">
        <v>315</v>
      </c>
      <c r="B128" t="s">
        <v>316</v>
      </c>
    </row>
    <row r="129" spans="1:2">
      <c r="A129" t="s">
        <v>317</v>
      </c>
      <c r="B129" t="s">
        <v>318</v>
      </c>
    </row>
    <row r="130" spans="1:2">
      <c r="A130" t="s">
        <v>319</v>
      </c>
      <c r="B130" t="s">
        <v>320</v>
      </c>
    </row>
    <row r="131" spans="1:2">
      <c r="A131" t="s">
        <v>321</v>
      </c>
      <c r="B131" t="s">
        <v>322</v>
      </c>
    </row>
    <row r="132" spans="1:2">
      <c r="A132" t="s">
        <v>323</v>
      </c>
      <c r="B132" t="s">
        <v>324</v>
      </c>
    </row>
    <row r="133" spans="1:2">
      <c r="A133" t="s">
        <v>325</v>
      </c>
      <c r="B133" t="s">
        <v>326</v>
      </c>
    </row>
    <row r="134" spans="1:2">
      <c r="A134" t="s">
        <v>327</v>
      </c>
      <c r="B134" t="s">
        <v>328</v>
      </c>
    </row>
    <row r="135" spans="1:2">
      <c r="A135" t="s">
        <v>329</v>
      </c>
      <c r="B135" t="s">
        <v>330</v>
      </c>
    </row>
    <row r="136" spans="1:2">
      <c r="A136" t="s">
        <v>331</v>
      </c>
      <c r="B136" t="s">
        <v>332</v>
      </c>
    </row>
    <row r="137" spans="1:2">
      <c r="A137" t="s">
        <v>333</v>
      </c>
      <c r="B137" t="s">
        <v>334</v>
      </c>
    </row>
    <row r="138" spans="1:2">
      <c r="A138" t="s">
        <v>335</v>
      </c>
      <c r="B138" t="s">
        <v>336</v>
      </c>
    </row>
    <row r="139" spans="1:2">
      <c r="A139" t="s">
        <v>337</v>
      </c>
      <c r="B139" t="s">
        <v>338</v>
      </c>
    </row>
    <row r="140" spans="1:2">
      <c r="A140" t="s">
        <v>339</v>
      </c>
      <c r="B140" t="s">
        <v>83</v>
      </c>
    </row>
    <row r="141" spans="1:2">
      <c r="A141" t="s">
        <v>376</v>
      </c>
      <c r="B141" t="s">
        <v>397</v>
      </c>
    </row>
    <row r="142" spans="1:2">
      <c r="A142" t="s">
        <v>340</v>
      </c>
      <c r="B142" t="s">
        <v>341</v>
      </c>
    </row>
    <row r="143" spans="1:2">
      <c r="A143" t="s">
        <v>342</v>
      </c>
      <c r="B143" t="s">
        <v>343</v>
      </c>
    </row>
    <row r="144" spans="1:2">
      <c r="A144" t="s">
        <v>344</v>
      </c>
      <c r="B144" t="s">
        <v>345</v>
      </c>
    </row>
    <row r="145" spans="1:2">
      <c r="A145" t="s">
        <v>346</v>
      </c>
      <c r="B145" t="s">
        <v>347</v>
      </c>
    </row>
    <row r="146" spans="1:2">
      <c r="A146" t="s">
        <v>348</v>
      </c>
      <c r="B146" t="s">
        <v>349</v>
      </c>
    </row>
    <row r="147" spans="1:2">
      <c r="A147" t="s">
        <v>350</v>
      </c>
      <c r="B147" t="s">
        <v>351</v>
      </c>
    </row>
    <row r="148" spans="1:2">
      <c r="A148" t="s">
        <v>352</v>
      </c>
      <c r="B148" t="s">
        <v>353</v>
      </c>
    </row>
    <row r="149" spans="1:2">
      <c r="A149" t="s">
        <v>354</v>
      </c>
      <c r="B149" t="s">
        <v>355</v>
      </c>
    </row>
    <row r="150" spans="1:2">
      <c r="A150" t="s">
        <v>356</v>
      </c>
      <c r="B150" t="s">
        <v>357</v>
      </c>
    </row>
    <row r="151" spans="1:2">
      <c r="A151" t="s">
        <v>358</v>
      </c>
      <c r="B151" t="s">
        <v>359</v>
      </c>
    </row>
    <row r="152" spans="1:2">
      <c r="A152" t="s">
        <v>360</v>
      </c>
      <c r="B152" t="s">
        <v>361</v>
      </c>
    </row>
    <row r="153" spans="1:2">
      <c r="A153" t="s">
        <v>362</v>
      </c>
      <c r="B153" t="s">
        <v>363</v>
      </c>
    </row>
    <row r="154" spans="1:2">
      <c r="A154" t="s">
        <v>364</v>
      </c>
      <c r="B154" t="s">
        <v>76</v>
      </c>
    </row>
    <row r="155" spans="1:2">
      <c r="A155" t="s">
        <v>365</v>
      </c>
      <c r="B155" t="s">
        <v>366</v>
      </c>
    </row>
    <row r="156" spans="1:2">
      <c r="A156" t="s">
        <v>367</v>
      </c>
      <c r="B156" t="s">
        <v>368</v>
      </c>
    </row>
    <row r="157" spans="1:2">
      <c r="A157" t="s">
        <v>369</v>
      </c>
      <c r="B157" t="s">
        <v>370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E073-3021-42AC-969D-971C5D0954F3}">
  <sheetPr>
    <tabColor rgb="FF66FFFF"/>
  </sheetPr>
  <dimension ref="A1:M999"/>
  <sheetViews>
    <sheetView zoomScale="90" zoomScaleNormal="90" workbookViewId="0">
      <pane xSplit="4" ySplit="5" topLeftCell="E281" activePane="bottomRight" state="frozen"/>
      <selection pane="topRight" activeCell="E1" sqref="E1"/>
      <selection pane="bottomLeft" activeCell="A6" sqref="A6"/>
      <selection pane="bottomRight" activeCell="K389" sqref="K389"/>
    </sheetView>
  </sheetViews>
  <sheetFormatPr defaultRowHeight="15"/>
  <cols>
    <col min="1" max="1" width="11.28515625" customWidth="1"/>
    <col min="2" max="2" width="13.140625" style="7" customWidth="1"/>
    <col min="3" max="3" width="31.7109375" bestFit="1" customWidth="1"/>
    <col min="4" max="4" width="21" customWidth="1"/>
    <col min="5" max="5" width="15.7109375" customWidth="1"/>
    <col min="6" max="6" width="20.28515625" customWidth="1"/>
    <col min="7" max="7" width="38.7109375" customWidth="1"/>
    <col min="8" max="8" width="58.7109375" bestFit="1" customWidth="1"/>
    <col min="9" max="9" width="15.140625" style="23" customWidth="1"/>
    <col min="10" max="10" width="15.85546875" style="23" customWidth="1"/>
    <col min="11" max="11" width="16.7109375" customWidth="1"/>
    <col min="12" max="13" width="12.140625" bestFit="1" customWidth="1"/>
  </cols>
  <sheetData>
    <row r="1" spans="1:13">
      <c r="A1" s="2"/>
      <c r="B1" s="74" t="s">
        <v>62</v>
      </c>
      <c r="C1" s="74"/>
      <c r="D1" s="74"/>
      <c r="E1" s="74"/>
      <c r="F1" s="74"/>
      <c r="G1" s="74"/>
      <c r="H1" s="74"/>
      <c r="I1" s="74"/>
      <c r="J1" s="74"/>
    </row>
    <row r="2" spans="1:13">
      <c r="A2" s="2"/>
      <c r="B2" s="74" t="s">
        <v>63</v>
      </c>
      <c r="C2" s="74"/>
      <c r="D2" s="74"/>
      <c r="E2" s="74"/>
      <c r="F2" s="74"/>
      <c r="G2" s="74"/>
      <c r="H2" s="74"/>
      <c r="I2" s="74"/>
      <c r="J2" s="74"/>
    </row>
    <row r="3" spans="1:13">
      <c r="A3" s="2"/>
      <c r="B3" s="74" t="s">
        <v>969</v>
      </c>
      <c r="C3" s="74"/>
      <c r="D3" s="74"/>
      <c r="E3" s="74"/>
      <c r="F3" s="74"/>
      <c r="G3" s="74"/>
      <c r="H3" s="74"/>
      <c r="I3" s="74"/>
      <c r="J3" s="74"/>
      <c r="L3" s="41"/>
      <c r="M3" s="1"/>
    </row>
    <row r="4" spans="1:13">
      <c r="A4" s="2"/>
      <c r="B4" s="9"/>
      <c r="C4" s="9"/>
      <c r="D4" s="9"/>
      <c r="E4" s="9"/>
      <c r="F4" s="9"/>
      <c r="G4" s="9"/>
      <c r="H4" s="9"/>
      <c r="I4" s="8">
        <f>SUBTOTAL(9,I6:I7183)</f>
        <v>1656293.5700000005</v>
      </c>
      <c r="J4" s="8">
        <f>SUBTOTAL(9,J6:J7183)</f>
        <v>1656293.5700000005</v>
      </c>
      <c r="K4" s="1">
        <f>J4-I4</f>
        <v>0</v>
      </c>
    </row>
    <row r="5" spans="1:13" s="35" customFormat="1" ht="25.5">
      <c r="A5" s="29" t="s">
        <v>64</v>
      </c>
      <c r="B5" s="30" t="s">
        <v>65</v>
      </c>
      <c r="C5" s="31" t="s">
        <v>66</v>
      </c>
      <c r="D5" s="31" t="s">
        <v>427</v>
      </c>
      <c r="E5" s="31" t="s">
        <v>927</v>
      </c>
      <c r="F5" s="31" t="s">
        <v>380</v>
      </c>
      <c r="G5" s="32" t="s">
        <v>378</v>
      </c>
      <c r="H5" s="33" t="s">
        <v>379</v>
      </c>
      <c r="I5" s="34" t="s">
        <v>67</v>
      </c>
      <c r="J5" s="34" t="s">
        <v>68</v>
      </c>
    </row>
    <row r="7" spans="1:13">
      <c r="A7" s="2">
        <v>242158</v>
      </c>
      <c r="B7" s="7" t="s">
        <v>3</v>
      </c>
      <c r="C7" s="3" t="str">
        <f>VLOOKUP(B7,'Accounts chart'!$A:$B,2,FALSE)</f>
        <v>ธนาคารกสิกรไทย SA-040-1-56500-0</v>
      </c>
      <c r="D7" s="3" t="s">
        <v>705</v>
      </c>
      <c r="E7" t="s">
        <v>428</v>
      </c>
      <c r="F7" t="s">
        <v>178</v>
      </c>
      <c r="G7" t="str">
        <f>VLOOKUP(F7,รายชื่อลูกบ้าน!$A:$B,2,FALSE)</f>
        <v>คุณกัญจน์ชญา เสาวกุล</v>
      </c>
      <c r="H7" t="s">
        <v>399</v>
      </c>
      <c r="I7" s="20">
        <v>7000</v>
      </c>
      <c r="J7" s="20"/>
      <c r="K7" s="2"/>
    </row>
    <row r="8" spans="1:13">
      <c r="A8" s="2">
        <v>242158</v>
      </c>
      <c r="B8" s="7" t="s">
        <v>3</v>
      </c>
      <c r="C8" s="3" t="str">
        <f>VLOOKUP(B8,'Accounts chart'!$A:$B,2,FALSE)</f>
        <v>ธนาคารกสิกรไทย SA-040-1-56500-0</v>
      </c>
      <c r="D8" s="3" t="s">
        <v>705</v>
      </c>
      <c r="E8" t="s">
        <v>429</v>
      </c>
      <c r="F8" t="s">
        <v>340</v>
      </c>
      <c r="G8" t="str">
        <f>VLOOKUP(F8,รายชื่อลูกบ้าน!$A:$B,2,FALSE)</f>
        <v>คุณอาทิตย์ แจ่มโกมัย</v>
      </c>
      <c r="H8" t="s">
        <v>383</v>
      </c>
      <c r="I8" s="20">
        <v>7001.43</v>
      </c>
      <c r="J8" s="20"/>
      <c r="K8" s="2"/>
    </row>
    <row r="9" spans="1:13">
      <c r="A9" s="2">
        <v>242158</v>
      </c>
      <c r="B9" s="7" t="s">
        <v>3</v>
      </c>
      <c r="C9" s="3" t="str">
        <f>VLOOKUP(B9,'Accounts chart'!$A:$B,2,FALSE)</f>
        <v>ธนาคารกสิกรไทย SA-040-1-56500-0</v>
      </c>
      <c r="D9" s="3" t="s">
        <v>705</v>
      </c>
      <c r="E9" t="s">
        <v>430</v>
      </c>
      <c r="F9" t="s">
        <v>144</v>
      </c>
      <c r="G9" t="str">
        <f>VLOOKUP(F9,รายชื่อลูกบ้าน!$A:$B,2,FALSE)</f>
        <v>คุณชญาภา มณีรัตน์</v>
      </c>
      <c r="H9" t="s">
        <v>383</v>
      </c>
      <c r="I9" s="20">
        <v>7000</v>
      </c>
      <c r="J9" s="20"/>
      <c r="K9" s="2"/>
    </row>
    <row r="10" spans="1:13">
      <c r="A10" s="2">
        <v>242158</v>
      </c>
      <c r="B10" s="7" t="s">
        <v>3</v>
      </c>
      <c r="C10" s="3" t="str">
        <f>VLOOKUP(B10,'Accounts chart'!$A:$B,2,FALSE)</f>
        <v>ธนาคารกสิกรไทย SA-040-1-56500-0</v>
      </c>
      <c r="D10" s="3" t="s">
        <v>705</v>
      </c>
      <c r="E10" t="s">
        <v>431</v>
      </c>
      <c r="F10" t="s">
        <v>279</v>
      </c>
      <c r="G10" t="str">
        <f>VLOOKUP(F10,รายชื่อลูกบ้าน!$A:$B,2,FALSE)</f>
        <v>คุณเสกสิทธิ์ คำธานี</v>
      </c>
      <c r="H10" t="s">
        <v>400</v>
      </c>
      <c r="I10" s="20">
        <v>601.09</v>
      </c>
      <c r="J10" s="20"/>
      <c r="K10" s="21"/>
    </row>
    <row r="11" spans="1:13">
      <c r="A11" s="2">
        <v>242158</v>
      </c>
      <c r="B11" s="7" t="s">
        <v>3</v>
      </c>
      <c r="C11" s="3" t="str">
        <f>VLOOKUP(B11,'Accounts chart'!$A:$B,2,FALSE)</f>
        <v>ธนาคารกสิกรไทย SA-040-1-56500-0</v>
      </c>
      <c r="D11" s="3" t="s">
        <v>705</v>
      </c>
      <c r="E11" t="s">
        <v>432</v>
      </c>
      <c r="F11" t="s">
        <v>183</v>
      </c>
      <c r="G11" t="str">
        <f>VLOOKUP(F11,รายชื่อลูกบ้าน!$A:$B,2,FALSE)</f>
        <v>คุณนาตยา-คุณนนทิยา บุญประคม</v>
      </c>
      <c r="H11" t="s">
        <v>383</v>
      </c>
      <c r="I11" s="20">
        <v>7000</v>
      </c>
      <c r="J11" s="20"/>
      <c r="K11" s="2"/>
    </row>
    <row r="12" spans="1:13">
      <c r="A12" s="2">
        <v>242158</v>
      </c>
      <c r="B12" s="7" t="s">
        <v>34</v>
      </c>
      <c r="C12" s="3" t="str">
        <f>VLOOKUP(B12,'Accounts chart'!$A:$B,2,FALSE)</f>
        <v>รายรับค่าส่วนกลาง</v>
      </c>
      <c r="D12" s="3" t="s">
        <v>705</v>
      </c>
      <c r="E12" t="s">
        <v>428</v>
      </c>
      <c r="F12" t="s">
        <v>178</v>
      </c>
      <c r="G12" t="str">
        <f>VLOOKUP(F12,รายชื่อลูกบ้าน!$A:$B,2,FALSE)</f>
        <v>คุณกัญจน์ชญา เสาวกุล</v>
      </c>
      <c r="H12" t="s">
        <v>399</v>
      </c>
      <c r="I12" s="20"/>
      <c r="J12" s="20">
        <v>7000</v>
      </c>
      <c r="K12" s="2"/>
    </row>
    <row r="13" spans="1:13">
      <c r="A13" s="2">
        <v>242158</v>
      </c>
      <c r="B13" s="7" t="s">
        <v>34</v>
      </c>
      <c r="C13" s="3" t="str">
        <f>VLOOKUP(B13,'Accounts chart'!$A:$B,2,FALSE)</f>
        <v>รายรับค่าส่วนกลาง</v>
      </c>
      <c r="D13" s="3" t="s">
        <v>705</v>
      </c>
      <c r="E13" t="s">
        <v>429</v>
      </c>
      <c r="F13" t="s">
        <v>340</v>
      </c>
      <c r="G13" t="str">
        <f>VLOOKUP(F13,รายชื่อลูกบ้าน!$A:$B,2,FALSE)</f>
        <v>คุณอาทิตย์ แจ่มโกมัย</v>
      </c>
      <c r="H13" t="s">
        <v>383</v>
      </c>
      <c r="I13" s="20"/>
      <c r="J13" s="20">
        <v>7001.43</v>
      </c>
      <c r="K13" s="2"/>
    </row>
    <row r="14" spans="1:13">
      <c r="A14" s="2">
        <v>242158</v>
      </c>
      <c r="B14" s="7" t="s">
        <v>34</v>
      </c>
      <c r="C14" s="3" t="str">
        <f>VLOOKUP(B14,'Accounts chart'!$A:$B,2,FALSE)</f>
        <v>รายรับค่าส่วนกลาง</v>
      </c>
      <c r="D14" s="3" t="s">
        <v>705</v>
      </c>
      <c r="E14" t="s">
        <v>430</v>
      </c>
      <c r="F14" t="s">
        <v>144</v>
      </c>
      <c r="G14" t="str">
        <f>VLOOKUP(F14,รายชื่อลูกบ้าน!$A:$B,2,FALSE)</f>
        <v>คุณชญาภา มณีรัตน์</v>
      </c>
      <c r="H14" t="s">
        <v>383</v>
      </c>
      <c r="I14" s="20"/>
      <c r="J14" s="20">
        <v>7000</v>
      </c>
      <c r="K14" s="2"/>
    </row>
    <row r="15" spans="1:13">
      <c r="A15" s="2">
        <v>242158</v>
      </c>
      <c r="B15" s="7" t="s">
        <v>4</v>
      </c>
      <c r="C15" s="3" t="str">
        <f>VLOOKUP(B15,'Accounts chart'!$A:$B,2,FALSE)</f>
        <v>ลูกหนี้ค่าส่วนกลาง</v>
      </c>
      <c r="D15" s="3" t="s">
        <v>705</v>
      </c>
      <c r="E15" t="s">
        <v>431</v>
      </c>
      <c r="F15" t="s">
        <v>279</v>
      </c>
      <c r="G15" t="str">
        <f>VLOOKUP(F15,รายชื่อลูกบ้าน!$A:$B,2,FALSE)</f>
        <v>คุณเสกสิทธิ์ คำธานี</v>
      </c>
      <c r="H15" t="s">
        <v>400</v>
      </c>
      <c r="I15" s="20"/>
      <c r="J15" s="20">
        <v>601.09</v>
      </c>
      <c r="K15" s="2"/>
    </row>
    <row r="16" spans="1:13">
      <c r="A16" s="2">
        <v>242158</v>
      </c>
      <c r="B16" s="7" t="s">
        <v>34</v>
      </c>
      <c r="C16" s="3" t="str">
        <f>VLOOKUP(B16,'Accounts chart'!$A:$B,2,FALSE)</f>
        <v>รายรับค่าส่วนกลาง</v>
      </c>
      <c r="D16" s="3" t="s">
        <v>705</v>
      </c>
      <c r="E16" t="s">
        <v>432</v>
      </c>
      <c r="F16" t="s">
        <v>183</v>
      </c>
      <c r="G16" t="str">
        <f>VLOOKUP(F16,รายชื่อลูกบ้าน!$A:$B,2,FALSE)</f>
        <v>คุณนาตยา-คุณนนทิยา บุญประคม</v>
      </c>
      <c r="H16" t="s">
        <v>383</v>
      </c>
      <c r="I16" s="20"/>
      <c r="J16" s="20">
        <v>7000</v>
      </c>
      <c r="K16" s="2"/>
    </row>
    <row r="17" spans="1:11">
      <c r="A17" s="2"/>
      <c r="C17" s="3"/>
      <c r="J17" s="20"/>
      <c r="K17" s="20"/>
    </row>
    <row r="18" spans="1:11">
      <c r="A18" s="2"/>
      <c r="C18" s="3"/>
      <c r="I18" s="20"/>
      <c r="J18" s="20"/>
      <c r="K18" s="2"/>
    </row>
    <row r="19" spans="1:11">
      <c r="A19" s="2">
        <v>242159</v>
      </c>
      <c r="B19" s="7" t="s">
        <v>3</v>
      </c>
      <c r="C19" s="3" t="str">
        <f>VLOOKUP(B19,'Accounts chart'!$A:$B,2,FALSE)</f>
        <v>ธนาคารกสิกรไทย SA-040-1-56500-0</v>
      </c>
      <c r="D19" s="3" t="s">
        <v>706</v>
      </c>
      <c r="E19" t="s">
        <v>433</v>
      </c>
      <c r="F19" t="s">
        <v>219</v>
      </c>
      <c r="G19" t="str">
        <f>VLOOKUP(F19,รายชื่อลูกบ้าน!$A:$B,2,FALSE)</f>
        <v>คุณวุฒินันท์ สงนารถ</v>
      </c>
      <c r="H19" t="s">
        <v>383</v>
      </c>
      <c r="I19" s="20">
        <v>7000.63</v>
      </c>
      <c r="J19" s="20"/>
      <c r="K19" s="2"/>
    </row>
    <row r="20" spans="1:11">
      <c r="A20" s="2">
        <v>242159</v>
      </c>
      <c r="B20" s="7" t="s">
        <v>3</v>
      </c>
      <c r="C20" s="3" t="str">
        <f>VLOOKUP(B20,'Accounts chart'!$A:$B,2,FALSE)</f>
        <v>ธนาคารกสิกรไทย SA-040-1-56500-0</v>
      </c>
      <c r="D20" s="3" t="s">
        <v>706</v>
      </c>
      <c r="E20" t="s">
        <v>434</v>
      </c>
      <c r="F20" t="s">
        <v>121</v>
      </c>
      <c r="G20" t="str">
        <f>VLOOKUP(F20,รายชื่อลูกบ้าน!$A:$B,2,FALSE)</f>
        <v>คุณสถิตย์ ปาระพิมพ์</v>
      </c>
      <c r="H20" t="s">
        <v>400</v>
      </c>
      <c r="I20" s="20">
        <v>600</v>
      </c>
      <c r="J20" s="20"/>
      <c r="K20" s="2"/>
    </row>
    <row r="21" spans="1:11">
      <c r="A21" s="2">
        <v>242159</v>
      </c>
      <c r="B21" s="7" t="s">
        <v>3</v>
      </c>
      <c r="C21" s="3" t="str">
        <f>VLOOKUP(B21,'Accounts chart'!$A:$B,2,FALSE)</f>
        <v>ธนาคารกสิกรไทย SA-040-1-56500-0</v>
      </c>
      <c r="D21" s="3" t="s">
        <v>706</v>
      </c>
      <c r="E21" t="s">
        <v>435</v>
      </c>
      <c r="F21" t="s">
        <v>117</v>
      </c>
      <c r="G21" t="str">
        <f>VLOOKUP(F21,รายชื่อลูกบ้าน!$A:$B,2,FALSE)</f>
        <v>คุณธนัญกรณ์ ทาสระคู</v>
      </c>
      <c r="H21" t="s">
        <v>385</v>
      </c>
      <c r="I21" s="20">
        <v>600.13</v>
      </c>
      <c r="J21" s="20"/>
      <c r="K21" s="2"/>
    </row>
    <row r="22" spans="1:11">
      <c r="A22" s="2">
        <v>242159</v>
      </c>
      <c r="B22" s="7" t="s">
        <v>3</v>
      </c>
      <c r="C22" s="3" t="str">
        <f>VLOOKUP(B22,'Accounts chart'!$A:$B,2,FALSE)</f>
        <v>ธนาคารกสิกรไทย SA-040-1-56500-0</v>
      </c>
      <c r="D22" s="3" t="s">
        <v>706</v>
      </c>
      <c r="E22" t="s">
        <v>436</v>
      </c>
      <c r="F22" t="s">
        <v>287</v>
      </c>
      <c r="G22" t="str">
        <f>VLOOKUP(F22,รายชื่อลูกบ้าน!$A:$B,2,FALSE)</f>
        <v>คุณพวงพุฒ คาร์เตอร์</v>
      </c>
      <c r="H22" t="s">
        <v>401</v>
      </c>
      <c r="I22" s="20">
        <v>1801.13</v>
      </c>
      <c r="J22" s="20"/>
      <c r="K22" s="2"/>
    </row>
    <row r="23" spans="1:11">
      <c r="A23" s="2">
        <v>242159</v>
      </c>
      <c r="B23" s="7" t="s">
        <v>3</v>
      </c>
      <c r="C23" s="3" t="str">
        <f>VLOOKUP(B23,'Accounts chart'!$A:$B,2,FALSE)</f>
        <v>ธนาคารกสิกรไทย SA-040-1-56500-0</v>
      </c>
      <c r="D23" s="3" t="s">
        <v>706</v>
      </c>
      <c r="E23" t="s">
        <v>437</v>
      </c>
      <c r="F23" t="s">
        <v>225</v>
      </c>
      <c r="G23" t="str">
        <f>VLOOKUP(F23,รายชื่อลูกบ้าน!$A:$B,2,FALSE)</f>
        <v>คุณถวิล เคสา</v>
      </c>
      <c r="H23" t="s">
        <v>384</v>
      </c>
      <c r="I23" s="20">
        <v>600</v>
      </c>
      <c r="J23" s="20"/>
      <c r="K23" s="2"/>
    </row>
    <row r="24" spans="1:11">
      <c r="A24" s="2">
        <v>242159</v>
      </c>
      <c r="B24" s="7" t="s">
        <v>3</v>
      </c>
      <c r="C24" s="3" t="str">
        <f>VLOOKUP(B24,'Accounts chart'!$A:$B,2,FALSE)</f>
        <v>ธนาคารกสิกรไทย SA-040-1-56500-0</v>
      </c>
      <c r="D24" s="3" t="s">
        <v>706</v>
      </c>
      <c r="E24" t="s">
        <v>438</v>
      </c>
      <c r="F24" t="s">
        <v>365</v>
      </c>
      <c r="G24" t="str">
        <f>VLOOKUP(F24,รายชื่อลูกบ้าน!$A:$B,2,FALSE)</f>
        <v>คุณสุริยา ใจมา</v>
      </c>
      <c r="H24" t="s">
        <v>384</v>
      </c>
      <c r="I24" s="20">
        <v>600</v>
      </c>
      <c r="J24" s="20"/>
      <c r="K24" s="2"/>
    </row>
    <row r="25" spans="1:11">
      <c r="A25" s="2">
        <v>242159</v>
      </c>
      <c r="B25" s="7" t="s">
        <v>3</v>
      </c>
      <c r="C25" s="3" t="str">
        <f>VLOOKUP(B25,'Accounts chart'!$A:$B,2,FALSE)</f>
        <v>ธนาคารกสิกรไทย SA-040-1-56500-0</v>
      </c>
      <c r="D25" s="3" t="s">
        <v>706</v>
      </c>
      <c r="E25" t="s">
        <v>439</v>
      </c>
      <c r="F25" t="s">
        <v>267</v>
      </c>
      <c r="G25" t="str">
        <f>VLOOKUP(F25,รายชื่อลูกบ้าน!$A:$B,2,FALSE)</f>
        <v>คุณดนัย ฮาวต่อมแก้ว</v>
      </c>
      <c r="H25" t="s">
        <v>400</v>
      </c>
      <c r="I25" s="20">
        <v>600</v>
      </c>
      <c r="J25" s="20"/>
      <c r="K25" s="21"/>
    </row>
    <row r="26" spans="1:11">
      <c r="A26" s="2">
        <v>242159</v>
      </c>
      <c r="B26" s="7" t="s">
        <v>34</v>
      </c>
      <c r="C26" s="3" t="str">
        <f>VLOOKUP(B26,'Accounts chart'!$A:$B,2,FALSE)</f>
        <v>รายรับค่าส่วนกลาง</v>
      </c>
      <c r="D26" s="3" t="s">
        <v>706</v>
      </c>
      <c r="E26" t="s">
        <v>433</v>
      </c>
      <c r="F26" t="s">
        <v>219</v>
      </c>
      <c r="G26" t="str">
        <f>VLOOKUP(F26,รายชื่อลูกบ้าน!$A:$B,2,FALSE)</f>
        <v>คุณวุฒินันท์ สงนารถ</v>
      </c>
      <c r="H26" t="s">
        <v>383</v>
      </c>
      <c r="I26" s="20"/>
      <c r="J26" s="20">
        <v>7000.63</v>
      </c>
      <c r="K26" s="21"/>
    </row>
    <row r="27" spans="1:11">
      <c r="A27" s="2">
        <v>242159</v>
      </c>
      <c r="B27" s="7" t="s">
        <v>4</v>
      </c>
      <c r="C27" s="3" t="str">
        <f>VLOOKUP(B27,'Accounts chart'!$A:$B,2,FALSE)</f>
        <v>ลูกหนี้ค่าส่วนกลาง</v>
      </c>
      <c r="D27" s="3" t="s">
        <v>706</v>
      </c>
      <c r="E27" t="s">
        <v>434</v>
      </c>
      <c r="F27" t="s">
        <v>121</v>
      </c>
      <c r="G27" t="str">
        <f>VLOOKUP(F27,รายชื่อลูกบ้าน!$A:$B,2,FALSE)</f>
        <v>คุณสถิตย์ ปาระพิมพ์</v>
      </c>
      <c r="H27" t="s">
        <v>400</v>
      </c>
      <c r="I27" s="20"/>
      <c r="J27" s="20">
        <v>600</v>
      </c>
      <c r="K27" s="21"/>
    </row>
    <row r="28" spans="1:11">
      <c r="A28" s="2">
        <v>242159</v>
      </c>
      <c r="B28" s="7" t="s">
        <v>34</v>
      </c>
      <c r="C28" s="3" t="str">
        <f>VLOOKUP(B28,'Accounts chart'!$A:$B,2,FALSE)</f>
        <v>รายรับค่าส่วนกลาง</v>
      </c>
      <c r="D28" s="3" t="s">
        <v>706</v>
      </c>
      <c r="E28" t="s">
        <v>435</v>
      </c>
      <c r="F28" t="s">
        <v>117</v>
      </c>
      <c r="G28" t="str">
        <f>VLOOKUP(F28,รายชื่อลูกบ้าน!$A:$B,2,FALSE)</f>
        <v>คุณธนัญกรณ์ ทาสระคู</v>
      </c>
      <c r="H28" t="s">
        <v>385</v>
      </c>
      <c r="I28" s="20"/>
      <c r="J28" s="20">
        <v>600.13</v>
      </c>
      <c r="K28" s="21"/>
    </row>
    <row r="29" spans="1:11">
      <c r="A29" s="2">
        <v>242159</v>
      </c>
      <c r="B29" s="7" t="s">
        <v>34</v>
      </c>
      <c r="C29" s="3" t="str">
        <f>VLOOKUP(B29,'Accounts chart'!$A:$B,2,FALSE)</f>
        <v>รายรับค่าส่วนกลาง</v>
      </c>
      <c r="D29" s="3" t="s">
        <v>706</v>
      </c>
      <c r="E29" t="s">
        <v>436</v>
      </c>
      <c r="F29" t="s">
        <v>287</v>
      </c>
      <c r="G29" t="str">
        <f>VLOOKUP(F29,รายชื่อลูกบ้าน!$A:$B,2,FALSE)</f>
        <v>คุณพวงพุฒ คาร์เตอร์</v>
      </c>
      <c r="H29" t="s">
        <v>401</v>
      </c>
      <c r="I29" s="20"/>
      <c r="J29" s="20">
        <v>1801.13</v>
      </c>
      <c r="K29" s="21"/>
    </row>
    <row r="30" spans="1:11">
      <c r="A30" s="2">
        <v>242159</v>
      </c>
      <c r="B30" s="7" t="s">
        <v>34</v>
      </c>
      <c r="C30" s="3" t="str">
        <f>VLOOKUP(B30,'Accounts chart'!$A:$B,2,FALSE)</f>
        <v>รายรับค่าส่วนกลาง</v>
      </c>
      <c r="D30" s="3" t="s">
        <v>706</v>
      </c>
      <c r="E30" t="s">
        <v>437</v>
      </c>
      <c r="F30" t="s">
        <v>225</v>
      </c>
      <c r="G30" t="str">
        <f>VLOOKUP(F30,รายชื่อลูกบ้าน!$A:$B,2,FALSE)</f>
        <v>คุณถวิล เคสา</v>
      </c>
      <c r="H30" t="s">
        <v>384</v>
      </c>
      <c r="I30" s="20"/>
      <c r="J30" s="20">
        <v>600</v>
      </c>
      <c r="K30" s="21"/>
    </row>
    <row r="31" spans="1:11">
      <c r="A31" s="2">
        <v>242159</v>
      </c>
      <c r="B31" s="7" t="s">
        <v>34</v>
      </c>
      <c r="C31" s="3" t="str">
        <f>VLOOKUP(B31,'Accounts chart'!$A:$B,2,FALSE)</f>
        <v>รายรับค่าส่วนกลาง</v>
      </c>
      <c r="D31" s="3" t="s">
        <v>706</v>
      </c>
      <c r="E31" t="s">
        <v>438</v>
      </c>
      <c r="F31" t="s">
        <v>365</v>
      </c>
      <c r="G31" t="str">
        <f>VLOOKUP(F31,รายชื่อลูกบ้าน!$A:$B,2,FALSE)</f>
        <v>คุณสุริยา ใจมา</v>
      </c>
      <c r="H31" t="s">
        <v>384</v>
      </c>
      <c r="I31" s="20"/>
      <c r="J31" s="20">
        <v>600</v>
      </c>
      <c r="K31" s="21"/>
    </row>
    <row r="32" spans="1:11">
      <c r="A32" s="2">
        <v>242159</v>
      </c>
      <c r="B32" s="7" t="s">
        <v>4</v>
      </c>
      <c r="C32" s="3" t="str">
        <f>VLOOKUP(B32,'Accounts chart'!$A:$B,2,FALSE)</f>
        <v>ลูกหนี้ค่าส่วนกลาง</v>
      </c>
      <c r="D32" s="3" t="s">
        <v>706</v>
      </c>
      <c r="E32" t="s">
        <v>439</v>
      </c>
      <c r="F32" t="s">
        <v>267</v>
      </c>
      <c r="G32" t="str">
        <f>VLOOKUP(F32,รายชื่อลูกบ้าน!$A:$B,2,FALSE)</f>
        <v>คุณดนัย ฮาวต่อมแก้ว</v>
      </c>
      <c r="H32" t="s">
        <v>400</v>
      </c>
      <c r="I32" s="20"/>
      <c r="J32" s="20">
        <v>600</v>
      </c>
      <c r="K32" s="21"/>
    </row>
    <row r="33" spans="1:11">
      <c r="A33" s="2"/>
      <c r="C33" s="3"/>
      <c r="I33" s="20"/>
      <c r="J33" s="20"/>
      <c r="K33" s="21"/>
    </row>
    <row r="34" spans="1:11">
      <c r="A34" s="2">
        <v>242160</v>
      </c>
      <c r="B34" s="7" t="s">
        <v>3</v>
      </c>
      <c r="C34" s="3" t="str">
        <f>VLOOKUP(B34,'Accounts chart'!$A:$B,2,FALSE)</f>
        <v>ธนาคารกสิกรไทย SA-040-1-56500-0</v>
      </c>
      <c r="D34" s="3" t="s">
        <v>707</v>
      </c>
      <c r="E34" t="s">
        <v>440</v>
      </c>
      <c r="F34" t="s">
        <v>321</v>
      </c>
      <c r="G34" t="str">
        <f>VLOOKUP(F34,รายชื่อลูกบ้าน!$A:$B,2,FALSE)</f>
        <v>คุณอรรณพ แสงประทีป</v>
      </c>
      <c r="H34" t="s">
        <v>383</v>
      </c>
      <c r="I34" s="20">
        <v>7000</v>
      </c>
      <c r="J34" s="20"/>
      <c r="K34" s="2"/>
    </row>
    <row r="35" spans="1:11">
      <c r="A35" s="2">
        <v>242160</v>
      </c>
      <c r="B35" s="7" t="s">
        <v>3</v>
      </c>
      <c r="C35" s="3" t="str">
        <f>VLOOKUP(B35,'Accounts chart'!$A:$B,2,FALSE)</f>
        <v>ธนาคารกสิกรไทย SA-040-1-56500-0</v>
      </c>
      <c r="D35" s="3" t="s">
        <v>707</v>
      </c>
      <c r="E35" t="s">
        <v>441</v>
      </c>
      <c r="F35" t="s">
        <v>229</v>
      </c>
      <c r="G35" t="str">
        <f>VLOOKUP(F35,รายชื่อลูกบ้าน!$A:$B,2,FALSE)</f>
        <v>คุณชนะ ศรีคำ</v>
      </c>
      <c r="H35" t="s">
        <v>383</v>
      </c>
      <c r="I35" s="20">
        <v>7000</v>
      </c>
      <c r="J35" s="20"/>
      <c r="K35" s="2"/>
    </row>
    <row r="36" spans="1:11">
      <c r="A36" s="2">
        <v>242160</v>
      </c>
      <c r="B36" s="7" t="s">
        <v>3</v>
      </c>
      <c r="C36" s="3" t="str">
        <f>VLOOKUP(B36,'Accounts chart'!$A:$B,2,FALSE)</f>
        <v>ธนาคารกสิกรไทย SA-040-1-56500-0</v>
      </c>
      <c r="D36" s="3" t="s">
        <v>707</v>
      </c>
      <c r="E36" t="s">
        <v>442</v>
      </c>
      <c r="F36" t="s">
        <v>233</v>
      </c>
      <c r="G36" t="str">
        <f>VLOOKUP(F36,รายชื่อลูกบ้าน!$A:$B,2,FALSE)</f>
        <v>คุณวิทยา วัดเข้าหลาม</v>
      </c>
      <c r="H36" t="s">
        <v>384</v>
      </c>
      <c r="I36" s="20">
        <v>600.80999999999995</v>
      </c>
      <c r="J36" s="20"/>
      <c r="K36" s="2"/>
    </row>
    <row r="37" spans="1:11">
      <c r="A37" s="2">
        <v>242160</v>
      </c>
      <c r="B37" s="7" t="s">
        <v>3</v>
      </c>
      <c r="C37" s="3" t="str">
        <f>VLOOKUP(B37,'Accounts chart'!$A:$B,2,FALSE)</f>
        <v>ธนาคารกสิกรไทย SA-040-1-56500-0</v>
      </c>
      <c r="D37" s="3" t="s">
        <v>707</v>
      </c>
      <c r="E37" t="s">
        <v>443</v>
      </c>
      <c r="F37" t="s">
        <v>97</v>
      </c>
      <c r="G37" t="str">
        <f>VLOOKUP(F37,รายชื่อลูกบ้าน!$A:$B,2,FALSE)</f>
        <v>คุณฉัตร์ชัย วานิชสมบัติ</v>
      </c>
      <c r="H37" t="s">
        <v>383</v>
      </c>
      <c r="I37" s="20">
        <v>7000</v>
      </c>
      <c r="J37" s="20"/>
      <c r="K37" s="2"/>
    </row>
    <row r="38" spans="1:11">
      <c r="A38" s="2">
        <v>242160</v>
      </c>
      <c r="B38" s="7" t="s">
        <v>3</v>
      </c>
      <c r="C38" s="3" t="str">
        <f>VLOOKUP(B38,'Accounts chart'!$A:$B,2,FALSE)</f>
        <v>ธนาคารกสิกรไทย SA-040-1-56500-0</v>
      </c>
      <c r="D38" s="3" t="s">
        <v>707</v>
      </c>
      <c r="E38" t="s">
        <v>444</v>
      </c>
      <c r="F38" t="s">
        <v>295</v>
      </c>
      <c r="G38" t="str">
        <f>VLOOKUP(F38,รายชื่อลูกบ้าน!$A:$B,2,FALSE)</f>
        <v>คุณภานุรังสิทธิ์-คุณภญาดา หมื่นจันทร์</v>
      </c>
      <c r="H38" t="s">
        <v>384</v>
      </c>
      <c r="I38" s="20">
        <v>600</v>
      </c>
      <c r="J38" s="20"/>
      <c r="K38" s="2"/>
    </row>
    <row r="39" spans="1:11">
      <c r="A39" s="2">
        <v>242160</v>
      </c>
      <c r="B39" s="7" t="s">
        <v>3</v>
      </c>
      <c r="C39" s="3" t="str">
        <f>VLOOKUP(B39,'Accounts chart'!$A:$B,2,FALSE)</f>
        <v>ธนาคารกสิกรไทย SA-040-1-56500-0</v>
      </c>
      <c r="D39" s="3" t="s">
        <v>707</v>
      </c>
      <c r="E39" s="24" t="s">
        <v>445</v>
      </c>
      <c r="F39" t="s">
        <v>118</v>
      </c>
      <c r="G39" t="str">
        <f>VLOOKUP(F39,รายชื่อลูกบ้าน!$A:$B,2,FALSE)</f>
        <v>คุณด้ามพรรณ ตั้งทองจิตร-คุณศราวุธ ฑพธาภิรมย์</v>
      </c>
      <c r="H39" t="s">
        <v>402</v>
      </c>
      <c r="I39" s="20">
        <v>600</v>
      </c>
      <c r="J39" s="20"/>
      <c r="K39" s="22"/>
    </row>
    <row r="40" spans="1:11">
      <c r="A40" s="25">
        <v>242160</v>
      </c>
      <c r="B40" s="26" t="s">
        <v>3</v>
      </c>
      <c r="C40" s="27" t="str">
        <f>VLOOKUP(B40,'Accounts chart'!$A:$B,2,FALSE)</f>
        <v>ธนาคารกสิกรไทย SA-040-1-56500-0</v>
      </c>
      <c r="D40" s="27" t="s">
        <v>707</v>
      </c>
      <c r="E40" s="4" t="s">
        <v>446</v>
      </c>
      <c r="F40" s="4"/>
      <c r="G40" s="4" t="e">
        <f>VLOOKUP(F40,รายชื่อลูกบ้าน!$A:$B,2,FALSE)</f>
        <v>#N/A</v>
      </c>
      <c r="H40" s="4" t="s">
        <v>371</v>
      </c>
      <c r="I40" s="28">
        <v>600</v>
      </c>
      <c r="J40" s="28"/>
      <c r="K40" s="21"/>
    </row>
    <row r="41" spans="1:11">
      <c r="A41" s="2">
        <v>242160</v>
      </c>
      <c r="B41" s="7" t="s">
        <v>3</v>
      </c>
      <c r="C41" s="3" t="str">
        <f>VLOOKUP(B41,'Accounts chart'!$A:$B,2,FALSE)</f>
        <v>ธนาคารกสิกรไทย SA-040-1-56500-0</v>
      </c>
      <c r="D41" s="3" t="s">
        <v>707</v>
      </c>
      <c r="E41" t="s">
        <v>447</v>
      </c>
      <c r="F41" t="s">
        <v>255</v>
      </c>
      <c r="G41" t="str">
        <f>VLOOKUP(F41,รายชื่อลูกบ้าน!$A:$B,2,FALSE)</f>
        <v>คุณไชยยันต์ แก้วบุญศรี</v>
      </c>
      <c r="H41" t="s">
        <v>384</v>
      </c>
      <c r="I41" s="20">
        <v>600.95000000000005</v>
      </c>
      <c r="J41" s="20"/>
      <c r="K41" s="2"/>
    </row>
    <row r="42" spans="1:11">
      <c r="A42" s="2">
        <v>242160</v>
      </c>
      <c r="B42" s="7" t="s">
        <v>34</v>
      </c>
      <c r="C42" s="3" t="str">
        <f>VLOOKUP(B42,'Accounts chart'!$A:$B,2,FALSE)</f>
        <v>รายรับค่าส่วนกลาง</v>
      </c>
      <c r="D42" s="3" t="s">
        <v>707</v>
      </c>
      <c r="E42" t="s">
        <v>440</v>
      </c>
      <c r="F42" t="s">
        <v>321</v>
      </c>
      <c r="G42" t="str">
        <f>VLOOKUP(F42,รายชื่อลูกบ้าน!$A:$B,2,FALSE)</f>
        <v>คุณอรรณพ แสงประทีป</v>
      </c>
      <c r="H42" t="s">
        <v>383</v>
      </c>
      <c r="I42" s="20"/>
      <c r="J42" s="20">
        <v>7000</v>
      </c>
      <c r="K42" s="2"/>
    </row>
    <row r="43" spans="1:11">
      <c r="A43" s="2">
        <v>242160</v>
      </c>
      <c r="B43" s="7" t="s">
        <v>34</v>
      </c>
      <c r="C43" s="3" t="str">
        <f>VLOOKUP(B43,'Accounts chart'!$A:$B,2,FALSE)</f>
        <v>รายรับค่าส่วนกลาง</v>
      </c>
      <c r="D43" s="3" t="s">
        <v>707</v>
      </c>
      <c r="E43" t="s">
        <v>441</v>
      </c>
      <c r="F43" t="s">
        <v>229</v>
      </c>
      <c r="G43" t="str">
        <f>VLOOKUP(F43,รายชื่อลูกบ้าน!$A:$B,2,FALSE)</f>
        <v>คุณชนะ ศรีคำ</v>
      </c>
      <c r="H43" t="s">
        <v>383</v>
      </c>
      <c r="I43" s="20"/>
      <c r="J43" s="20">
        <v>7000</v>
      </c>
      <c r="K43" s="2"/>
    </row>
    <row r="44" spans="1:11">
      <c r="A44" s="2">
        <v>242160</v>
      </c>
      <c r="B44" s="7" t="s">
        <v>34</v>
      </c>
      <c r="C44" s="3" t="str">
        <f>VLOOKUP(B44,'Accounts chart'!$A:$B,2,FALSE)</f>
        <v>รายรับค่าส่วนกลาง</v>
      </c>
      <c r="D44" s="3" t="s">
        <v>707</v>
      </c>
      <c r="E44" t="s">
        <v>442</v>
      </c>
      <c r="F44" t="s">
        <v>233</v>
      </c>
      <c r="G44" t="str">
        <f>VLOOKUP(F44,รายชื่อลูกบ้าน!$A:$B,2,FALSE)</f>
        <v>คุณวิทยา วัดเข้าหลาม</v>
      </c>
      <c r="H44" t="s">
        <v>384</v>
      </c>
      <c r="I44" s="20"/>
      <c r="J44" s="20">
        <v>600.80999999999995</v>
      </c>
      <c r="K44" s="2"/>
    </row>
    <row r="45" spans="1:11">
      <c r="A45" s="2">
        <v>242160</v>
      </c>
      <c r="B45" s="7" t="s">
        <v>34</v>
      </c>
      <c r="C45" s="3" t="str">
        <f>VLOOKUP(B45,'Accounts chart'!$A:$B,2,FALSE)</f>
        <v>รายรับค่าส่วนกลาง</v>
      </c>
      <c r="D45" s="3" t="s">
        <v>707</v>
      </c>
      <c r="E45" t="s">
        <v>443</v>
      </c>
      <c r="F45" t="s">
        <v>97</v>
      </c>
      <c r="G45" t="str">
        <f>VLOOKUP(F45,รายชื่อลูกบ้าน!$A:$B,2,FALSE)</f>
        <v>คุณฉัตร์ชัย วานิชสมบัติ</v>
      </c>
      <c r="H45" t="s">
        <v>383</v>
      </c>
      <c r="I45" s="20"/>
      <c r="J45" s="20">
        <v>7000</v>
      </c>
      <c r="K45" s="2"/>
    </row>
    <row r="46" spans="1:11">
      <c r="A46" s="2">
        <v>242160</v>
      </c>
      <c r="B46" s="7" t="s">
        <v>34</v>
      </c>
      <c r="C46" s="3" t="str">
        <f>VLOOKUP(B46,'Accounts chart'!$A:$B,2,FALSE)</f>
        <v>รายรับค่าส่วนกลาง</v>
      </c>
      <c r="D46" s="3" t="s">
        <v>707</v>
      </c>
      <c r="E46" t="s">
        <v>444</v>
      </c>
      <c r="F46" t="s">
        <v>295</v>
      </c>
      <c r="G46" t="str">
        <f>VLOOKUP(F46,รายชื่อลูกบ้าน!$A:$B,2,FALSE)</f>
        <v>คุณภานุรังสิทธิ์-คุณภญาดา หมื่นจันทร์</v>
      </c>
      <c r="H46" t="s">
        <v>384</v>
      </c>
      <c r="I46" s="20"/>
      <c r="J46" s="20">
        <v>600</v>
      </c>
      <c r="K46" s="2"/>
    </row>
    <row r="47" spans="1:11">
      <c r="A47" s="2">
        <v>242160</v>
      </c>
      <c r="B47" s="7" t="s">
        <v>4</v>
      </c>
      <c r="C47" s="3" t="str">
        <f>VLOOKUP(B47,'Accounts chart'!$A:$B,2,FALSE)</f>
        <v>ลูกหนี้ค่าส่วนกลาง</v>
      </c>
      <c r="D47" s="3" t="s">
        <v>707</v>
      </c>
      <c r="E47" s="24" t="s">
        <v>445</v>
      </c>
      <c r="F47" t="s">
        <v>118</v>
      </c>
      <c r="G47" t="str">
        <f>VLOOKUP(F47,รายชื่อลูกบ้าน!$A:$B,2,FALSE)</f>
        <v>คุณด้ามพรรณ ตั้งทองจิตร-คุณศราวุธ ฑพธาภิรมย์</v>
      </c>
      <c r="H47" t="s">
        <v>402</v>
      </c>
      <c r="I47" s="20"/>
      <c r="J47" s="20">
        <v>600</v>
      </c>
      <c r="K47" s="2"/>
    </row>
    <row r="48" spans="1:11">
      <c r="A48" s="36">
        <v>242160</v>
      </c>
      <c r="B48" s="37" t="s">
        <v>26</v>
      </c>
      <c r="C48" s="38" t="str">
        <f>VLOOKUP(B48,'Accounts chart'!$A:$B,2,FALSE)</f>
        <v>รายได้ค่าส่วนกลางไม่ทราบชือ</v>
      </c>
      <c r="D48" s="27" t="s">
        <v>707</v>
      </c>
      <c r="E48" s="4" t="s">
        <v>446</v>
      </c>
      <c r="F48" s="39"/>
      <c r="G48" s="4" t="e">
        <f>VLOOKUP(F48,รายชื่อลูกบ้าน!$A:$B,2,FALSE)</f>
        <v>#N/A</v>
      </c>
      <c r="H48" s="39" t="s">
        <v>371</v>
      </c>
      <c r="I48" s="40"/>
      <c r="J48" s="40">
        <v>600</v>
      </c>
      <c r="K48" s="2"/>
    </row>
    <row r="49" spans="1:11">
      <c r="A49" s="2">
        <v>242160</v>
      </c>
      <c r="B49" s="7" t="s">
        <v>34</v>
      </c>
      <c r="C49" s="3" t="str">
        <f>VLOOKUP(B49,'Accounts chart'!$A:$B,2,FALSE)</f>
        <v>รายรับค่าส่วนกลาง</v>
      </c>
      <c r="D49" s="3" t="s">
        <v>707</v>
      </c>
      <c r="E49" t="s">
        <v>447</v>
      </c>
      <c r="F49" t="s">
        <v>255</v>
      </c>
      <c r="G49" t="str">
        <f>VLOOKUP(F49,รายชื่อลูกบ้าน!$A:$B,2,FALSE)</f>
        <v>คุณไชยยันต์ แก้วบุญศรี</v>
      </c>
      <c r="H49" t="s">
        <v>384</v>
      </c>
      <c r="I49" s="20"/>
      <c r="J49" s="20">
        <v>600.95000000000005</v>
      </c>
      <c r="K49" s="2"/>
    </row>
    <row r="50" spans="1:11">
      <c r="A50" s="2"/>
      <c r="C50" s="3"/>
      <c r="I50" s="20"/>
      <c r="J50" s="20"/>
      <c r="K50" s="2"/>
    </row>
    <row r="51" spans="1:11">
      <c r="A51" s="2">
        <v>242161</v>
      </c>
      <c r="B51" s="7" t="s">
        <v>3</v>
      </c>
      <c r="C51" s="3" t="str">
        <f>VLOOKUP(B51,'Accounts chart'!$A:$B,2,FALSE)</f>
        <v>ธนาคารกสิกรไทย SA-040-1-56500-0</v>
      </c>
      <c r="D51" s="3" t="s">
        <v>708</v>
      </c>
      <c r="E51" t="s">
        <v>448</v>
      </c>
      <c r="F51" t="s">
        <v>173</v>
      </c>
      <c r="G51" t="str">
        <f>VLOOKUP(F51,รายชื่อลูกบ้าน!$A:$B,2,FALSE)</f>
        <v>คุณพิริยะ ทรัพย์เจริญ-คุณเยาวเรศ โกสุมพิทักษ์</v>
      </c>
      <c r="H51" t="s">
        <v>400</v>
      </c>
      <c r="I51" s="20">
        <v>600</v>
      </c>
      <c r="J51" s="20"/>
      <c r="K51" s="21"/>
    </row>
    <row r="52" spans="1:11">
      <c r="A52" s="2">
        <v>242161</v>
      </c>
      <c r="B52" s="7" t="s">
        <v>3</v>
      </c>
      <c r="C52" s="3" t="str">
        <f>VLOOKUP(B52,'Accounts chart'!$A:$B,2,FALSE)</f>
        <v>ธนาคารกสิกรไทย SA-040-1-56500-0</v>
      </c>
      <c r="D52" s="3" t="s">
        <v>708</v>
      </c>
      <c r="E52" t="s">
        <v>449</v>
      </c>
      <c r="F52" t="s">
        <v>344</v>
      </c>
      <c r="G52" t="str">
        <f>VLOOKUP(F52,รายชื่อลูกบ้าน!$A:$B,2,FALSE)</f>
        <v>คุณนวลจันทร์ เอี่ยมศุภนิมิตร</v>
      </c>
      <c r="H52" t="s">
        <v>383</v>
      </c>
      <c r="I52" s="20">
        <v>7001.45</v>
      </c>
      <c r="J52" s="20"/>
      <c r="K52" s="2"/>
    </row>
    <row r="53" spans="1:11">
      <c r="A53" s="2">
        <v>242161</v>
      </c>
      <c r="B53" s="7" t="s">
        <v>3</v>
      </c>
      <c r="C53" s="3" t="str">
        <f>VLOOKUP(B53,'Accounts chart'!$A:$B,2,FALSE)</f>
        <v>ธนาคารกสิกรไทย SA-040-1-56500-0</v>
      </c>
      <c r="D53" s="3" t="s">
        <v>708</v>
      </c>
      <c r="E53" t="s">
        <v>450</v>
      </c>
      <c r="F53" t="s">
        <v>313</v>
      </c>
      <c r="G53" t="str">
        <f>VLOOKUP(F53,รายชื่อลูกบ้าน!$A:$B,2,FALSE)</f>
        <v>คุณภานุมาศ ธนาธรศิริยุทธ์</v>
      </c>
      <c r="H53" t="s">
        <v>400</v>
      </c>
      <c r="I53" s="20">
        <v>600</v>
      </c>
      <c r="J53" s="20"/>
      <c r="K53" s="2"/>
    </row>
    <row r="54" spans="1:11">
      <c r="A54" s="2">
        <v>242161</v>
      </c>
      <c r="B54" s="7" t="s">
        <v>3</v>
      </c>
      <c r="C54" s="3" t="str">
        <f>VLOOKUP(B54,'Accounts chart'!$A:$B,2,FALSE)</f>
        <v>ธนาคารกสิกรไทย SA-040-1-56500-0</v>
      </c>
      <c r="D54" s="3" t="s">
        <v>708</v>
      </c>
      <c r="E54" t="s">
        <v>451</v>
      </c>
      <c r="F54" t="s">
        <v>187</v>
      </c>
      <c r="G54" t="str">
        <f>VLOOKUP(F54,รายชื่อลูกบ้าน!$A:$B,2,FALSE)</f>
        <v>นายญัชพล ภู่ถาวร</v>
      </c>
      <c r="H54" t="s">
        <v>384</v>
      </c>
      <c r="I54" s="20">
        <v>600</v>
      </c>
      <c r="J54" s="20"/>
      <c r="K54" s="21"/>
    </row>
    <row r="55" spans="1:11">
      <c r="A55" s="2">
        <v>242161</v>
      </c>
      <c r="B55" s="7" t="s">
        <v>4</v>
      </c>
      <c r="C55" s="3" t="str">
        <f>VLOOKUP(B55,'Accounts chart'!$A:$B,2,FALSE)</f>
        <v>ลูกหนี้ค่าส่วนกลาง</v>
      </c>
      <c r="D55" s="3" t="s">
        <v>708</v>
      </c>
      <c r="E55" t="s">
        <v>448</v>
      </c>
      <c r="F55" t="s">
        <v>173</v>
      </c>
      <c r="G55" t="str">
        <f>VLOOKUP(F55,รายชื่อลูกบ้าน!$A:$B,2,FALSE)</f>
        <v>คุณพิริยะ ทรัพย์เจริญ-คุณเยาวเรศ โกสุมพิทักษ์</v>
      </c>
      <c r="H55" t="s">
        <v>400</v>
      </c>
      <c r="I55" s="20"/>
      <c r="J55" s="20">
        <v>600</v>
      </c>
      <c r="K55" s="21"/>
    </row>
    <row r="56" spans="1:11">
      <c r="A56" s="2">
        <v>242161</v>
      </c>
      <c r="B56" s="7" t="s">
        <v>34</v>
      </c>
      <c r="C56" s="3" t="str">
        <f>VLOOKUP(B56,'Accounts chart'!$A:$B,2,FALSE)</f>
        <v>รายรับค่าส่วนกลาง</v>
      </c>
      <c r="D56" s="3" t="s">
        <v>708</v>
      </c>
      <c r="E56" t="s">
        <v>449</v>
      </c>
      <c r="F56" t="s">
        <v>344</v>
      </c>
      <c r="G56" t="str">
        <f>VLOOKUP(F56,รายชื่อลูกบ้าน!$A:$B,2,FALSE)</f>
        <v>คุณนวลจันทร์ เอี่ยมศุภนิมิตร</v>
      </c>
      <c r="H56" t="s">
        <v>383</v>
      </c>
      <c r="I56" s="20"/>
      <c r="J56" s="20">
        <v>7001.45</v>
      </c>
      <c r="K56" s="21"/>
    </row>
    <row r="57" spans="1:11">
      <c r="A57" s="2">
        <v>242161</v>
      </c>
      <c r="B57" s="7" t="s">
        <v>4</v>
      </c>
      <c r="C57" s="3" t="str">
        <f>VLOOKUP(B57,'Accounts chart'!$A:$B,2,FALSE)</f>
        <v>ลูกหนี้ค่าส่วนกลาง</v>
      </c>
      <c r="D57" s="3" t="s">
        <v>708</v>
      </c>
      <c r="E57" t="s">
        <v>450</v>
      </c>
      <c r="F57" t="s">
        <v>313</v>
      </c>
      <c r="G57" t="str">
        <f>VLOOKUP(F57,รายชื่อลูกบ้าน!$A:$B,2,FALSE)</f>
        <v>คุณภานุมาศ ธนาธรศิริยุทธ์</v>
      </c>
      <c r="H57" t="s">
        <v>400</v>
      </c>
      <c r="I57" s="20"/>
      <c r="J57" s="20">
        <v>600</v>
      </c>
      <c r="K57" s="21"/>
    </row>
    <row r="58" spans="1:11">
      <c r="A58" s="2">
        <v>242161</v>
      </c>
      <c r="B58" s="7" t="s">
        <v>34</v>
      </c>
      <c r="C58" s="3" t="str">
        <f>VLOOKUP(B58,'Accounts chart'!$A:$B,2,FALSE)</f>
        <v>รายรับค่าส่วนกลาง</v>
      </c>
      <c r="D58" s="3" t="s">
        <v>708</v>
      </c>
      <c r="E58" t="s">
        <v>451</v>
      </c>
      <c r="F58" t="s">
        <v>187</v>
      </c>
      <c r="G58" t="str">
        <f>VLOOKUP(F58,รายชื่อลูกบ้าน!$A:$B,2,FALSE)</f>
        <v>นายญัชพล ภู่ถาวร</v>
      </c>
      <c r="H58" t="s">
        <v>384</v>
      </c>
      <c r="I58" s="20"/>
      <c r="J58" s="20">
        <v>600</v>
      </c>
      <c r="K58" s="21"/>
    </row>
    <row r="59" spans="1:11">
      <c r="A59" s="2"/>
      <c r="C59" s="3"/>
      <c r="I59" s="20"/>
      <c r="J59" s="20"/>
      <c r="K59" s="21"/>
    </row>
    <row r="60" spans="1:11">
      <c r="A60" s="2">
        <v>242162</v>
      </c>
      <c r="B60" s="7" t="s">
        <v>3</v>
      </c>
      <c r="C60" s="3" t="str">
        <f>VLOOKUP(B60,'Accounts chart'!$A:$B,2,FALSE)</f>
        <v>ธนาคารกสิกรไทย SA-040-1-56500-0</v>
      </c>
      <c r="D60" s="3" t="s">
        <v>709</v>
      </c>
      <c r="E60" t="s">
        <v>452</v>
      </c>
      <c r="F60" t="s">
        <v>109</v>
      </c>
      <c r="G60" t="str">
        <f>VLOOKUP(F60,รายชื่อลูกบ้าน!$A:$B,2,FALSE)</f>
        <v>คุณพัฒนชญา+คุณธิตินันท์ วงค์บุปผา</v>
      </c>
      <c r="H60" t="s">
        <v>384</v>
      </c>
      <c r="I60" s="20">
        <v>600</v>
      </c>
      <c r="J60" s="20"/>
      <c r="K60" s="2"/>
    </row>
    <row r="61" spans="1:11">
      <c r="A61" s="2">
        <v>242162</v>
      </c>
      <c r="B61" s="7" t="s">
        <v>3</v>
      </c>
      <c r="C61" s="3" t="str">
        <f>VLOOKUP(B61,'Accounts chart'!$A:$B,2,FALSE)</f>
        <v>ธนาคารกสิกรไทย SA-040-1-56500-0</v>
      </c>
      <c r="D61" s="3" t="s">
        <v>709</v>
      </c>
      <c r="E61" t="s">
        <v>453</v>
      </c>
      <c r="F61" t="s">
        <v>87</v>
      </c>
      <c r="G61" t="str">
        <f>VLOOKUP(F61,รายชื่อลูกบ้าน!$A:$B,2,FALSE)</f>
        <v>คุณคงกฤษณ์ กาญจนพฤกษ์</v>
      </c>
      <c r="H61" t="s">
        <v>400</v>
      </c>
      <c r="I61" s="20">
        <v>600</v>
      </c>
      <c r="J61" s="20"/>
      <c r="K61" s="21"/>
    </row>
    <row r="62" spans="1:11">
      <c r="A62" s="2">
        <v>242162</v>
      </c>
      <c r="B62" s="7" t="s">
        <v>3</v>
      </c>
      <c r="C62" s="3" t="str">
        <f>VLOOKUP(B62,'Accounts chart'!$A:$B,2,FALSE)</f>
        <v>ธนาคารกสิกรไทย SA-040-1-56500-0</v>
      </c>
      <c r="D62" s="3" t="s">
        <v>709</v>
      </c>
      <c r="E62" t="s">
        <v>454</v>
      </c>
      <c r="F62" t="s">
        <v>207</v>
      </c>
      <c r="G62" t="str">
        <f>VLOOKUP(F62,รายชื่อลูกบ้าน!$A:$B,2,FALSE)</f>
        <v>คุณกิตติภูมิ กาญจนจิรวงศ์</v>
      </c>
      <c r="H62" t="s">
        <v>403</v>
      </c>
      <c r="I62" s="20">
        <v>1200</v>
      </c>
      <c r="J62" s="20"/>
      <c r="K62" s="2"/>
    </row>
    <row r="63" spans="1:11">
      <c r="A63" s="2">
        <v>242162</v>
      </c>
      <c r="B63" s="7" t="s">
        <v>3</v>
      </c>
      <c r="C63" s="3" t="str">
        <f>VLOOKUP(B63,'Accounts chart'!$A:$B,2,FALSE)</f>
        <v>ธนาคารกสิกรไทย SA-040-1-56500-0</v>
      </c>
      <c r="D63" s="3" t="s">
        <v>709</v>
      </c>
      <c r="E63" t="s">
        <v>455</v>
      </c>
      <c r="F63" t="s">
        <v>182</v>
      </c>
      <c r="G63" t="str">
        <f>VLOOKUP(F63,รายชื่อลูกบ้าน!$A:$B,2,FALSE)</f>
        <v>คุณสิระพัชร์ หน่อแก้ว</v>
      </c>
      <c r="H63" t="s">
        <v>400</v>
      </c>
      <c r="I63" s="20">
        <v>600.53</v>
      </c>
      <c r="J63" s="20"/>
      <c r="K63" s="2"/>
    </row>
    <row r="64" spans="1:11">
      <c r="A64" s="2">
        <v>242162</v>
      </c>
      <c r="B64" s="7" t="s">
        <v>3</v>
      </c>
      <c r="C64" s="3" t="str">
        <f>VLOOKUP(B64,'Accounts chart'!$A:$B,2,FALSE)</f>
        <v>ธนาคารกสิกรไทย SA-040-1-56500-0</v>
      </c>
      <c r="D64" s="3" t="s">
        <v>709</v>
      </c>
      <c r="E64" t="s">
        <v>456</v>
      </c>
      <c r="F64" t="s">
        <v>161</v>
      </c>
      <c r="G64" t="str">
        <f>VLOOKUP(F64,รายชื่อลูกบ้าน!$A:$B,2,FALSE)</f>
        <v>คุณพงษ์พัฒนา มาบุญ</v>
      </c>
      <c r="H64" t="s">
        <v>400</v>
      </c>
      <c r="I64" s="20">
        <v>600</v>
      </c>
      <c r="J64" s="20"/>
      <c r="K64" s="2"/>
    </row>
    <row r="65" spans="1:11">
      <c r="A65" s="2">
        <v>242162</v>
      </c>
      <c r="B65" s="7" t="s">
        <v>3</v>
      </c>
      <c r="C65" s="3" t="str">
        <f>VLOOKUP(B65,'Accounts chart'!$A:$B,2,FALSE)</f>
        <v>ธนาคารกสิกรไทย SA-040-1-56500-0</v>
      </c>
      <c r="D65" s="3" t="s">
        <v>709</v>
      </c>
      <c r="E65" t="s">
        <v>457</v>
      </c>
      <c r="F65" t="s">
        <v>262</v>
      </c>
      <c r="G65" t="str">
        <f>VLOOKUP(F65,รายชื่อลูกบ้าน!$A:$B,2,FALSE)</f>
        <v>คุณวินัย-คุณนุชนาฎ ลิ้มบุพศิริพร</v>
      </c>
      <c r="H65" t="s">
        <v>384</v>
      </c>
      <c r="I65" s="20">
        <v>600</v>
      </c>
      <c r="J65" s="20"/>
      <c r="K65" s="2"/>
    </row>
    <row r="66" spans="1:11">
      <c r="A66" s="2">
        <v>242162</v>
      </c>
      <c r="B66" s="7" t="s">
        <v>3</v>
      </c>
      <c r="C66" s="3" t="str">
        <f>VLOOKUP(B66,'Accounts chart'!$A:$B,2,FALSE)</f>
        <v>ธนาคารกสิกรไทย SA-040-1-56500-0</v>
      </c>
      <c r="D66" s="3" t="s">
        <v>709</v>
      </c>
      <c r="E66" t="s">
        <v>458</v>
      </c>
      <c r="F66" t="s">
        <v>215</v>
      </c>
      <c r="G66" t="str">
        <f>VLOOKUP(F66,รายชื่อลูกบ้าน!$A:$B,2,FALSE)</f>
        <v>คุณสุพัตรา มงคลสหกุล</v>
      </c>
      <c r="H66" t="s">
        <v>383</v>
      </c>
      <c r="I66" s="20">
        <v>7000</v>
      </c>
      <c r="J66" s="20"/>
      <c r="K66" s="2"/>
    </row>
    <row r="67" spans="1:11">
      <c r="A67" s="2">
        <v>242162</v>
      </c>
      <c r="B67" s="7" t="s">
        <v>3</v>
      </c>
      <c r="C67" s="3" t="str">
        <f>VLOOKUP(B67,'Accounts chart'!$A:$B,2,FALSE)</f>
        <v>ธนาคารกสิกรไทย SA-040-1-56500-0</v>
      </c>
      <c r="D67" s="3" t="s">
        <v>709</v>
      </c>
      <c r="E67" t="s">
        <v>459</v>
      </c>
      <c r="F67" t="s">
        <v>189</v>
      </c>
      <c r="G67" t="str">
        <f>VLOOKUP(F67,รายชื่อลูกบ้าน!$A:$B,2,FALSE)</f>
        <v>คุณสิปปกร-คุณนิตยา รัตนพันธุ์</v>
      </c>
      <c r="H67" t="s">
        <v>404</v>
      </c>
      <c r="I67" s="20">
        <v>1800</v>
      </c>
      <c r="J67" s="20"/>
      <c r="K67" s="2"/>
    </row>
    <row r="68" spans="1:11">
      <c r="A68" s="2">
        <v>242162</v>
      </c>
      <c r="B68" s="7" t="s">
        <v>3</v>
      </c>
      <c r="C68" s="3" t="str">
        <f>VLOOKUP(B68,'Accounts chart'!$A:$B,2,FALSE)</f>
        <v>ธนาคารกสิกรไทย SA-040-1-56500-0</v>
      </c>
      <c r="D68" s="3" t="s">
        <v>709</v>
      </c>
      <c r="E68" t="s">
        <v>460</v>
      </c>
      <c r="F68" t="s">
        <v>74</v>
      </c>
      <c r="G68" t="str">
        <f>VLOOKUP(F68,รายชื่อลูกบ้าน!$A:$B,2,FALSE)</f>
        <v>คุณคมกฤษณ์ เรืองเพ็ง</v>
      </c>
      <c r="H68" t="s">
        <v>384</v>
      </c>
      <c r="I68" s="20">
        <v>600</v>
      </c>
      <c r="J68" s="20"/>
      <c r="K68" s="21"/>
    </row>
    <row r="69" spans="1:11">
      <c r="A69" s="2">
        <v>242162</v>
      </c>
      <c r="B69" s="7" t="s">
        <v>34</v>
      </c>
      <c r="C69" s="3" t="str">
        <f>VLOOKUP(B69,'Accounts chart'!$A:$B,2,FALSE)</f>
        <v>รายรับค่าส่วนกลาง</v>
      </c>
      <c r="D69" s="3" t="s">
        <v>709</v>
      </c>
      <c r="E69" t="s">
        <v>452</v>
      </c>
      <c r="F69" t="s">
        <v>109</v>
      </c>
      <c r="G69" t="str">
        <f>VLOOKUP(F69,รายชื่อลูกบ้าน!$A:$B,2,FALSE)</f>
        <v>คุณพัฒนชญา+คุณธิตินันท์ วงค์บุปผา</v>
      </c>
      <c r="H69" t="s">
        <v>384</v>
      </c>
      <c r="J69" s="20">
        <v>600</v>
      </c>
      <c r="K69" s="21"/>
    </row>
    <row r="70" spans="1:11">
      <c r="A70" s="2">
        <v>242162</v>
      </c>
      <c r="B70" s="7" t="s">
        <v>4</v>
      </c>
      <c r="C70" s="3" t="str">
        <f>VLOOKUP(B70,'Accounts chart'!$A:$B,2,FALSE)</f>
        <v>ลูกหนี้ค่าส่วนกลาง</v>
      </c>
      <c r="D70" s="3" t="s">
        <v>709</v>
      </c>
      <c r="E70" t="s">
        <v>453</v>
      </c>
      <c r="F70" t="s">
        <v>87</v>
      </c>
      <c r="G70" t="str">
        <f>VLOOKUP(F70,รายชื่อลูกบ้าน!$A:$B,2,FALSE)</f>
        <v>คุณคงกฤษณ์ กาญจนพฤกษ์</v>
      </c>
      <c r="H70" t="s">
        <v>400</v>
      </c>
      <c r="J70" s="20">
        <v>600</v>
      </c>
      <c r="K70" s="21"/>
    </row>
    <row r="71" spans="1:11">
      <c r="A71" s="2">
        <v>242162</v>
      </c>
      <c r="B71" s="7" t="s">
        <v>4</v>
      </c>
      <c r="C71" s="3" t="str">
        <f>VLOOKUP(B71,'Accounts chart'!$A:$B,2,FALSE)</f>
        <v>ลูกหนี้ค่าส่วนกลาง</v>
      </c>
      <c r="D71" s="3" t="s">
        <v>709</v>
      </c>
      <c r="E71" t="s">
        <v>454</v>
      </c>
      <c r="F71" t="s">
        <v>207</v>
      </c>
      <c r="G71" t="str">
        <f>VLOOKUP(F71,รายชื่อลูกบ้าน!$A:$B,2,FALSE)</f>
        <v>คุณกิตติภูมิ กาญจนจิรวงศ์</v>
      </c>
      <c r="H71" t="s">
        <v>403</v>
      </c>
      <c r="J71" s="20">
        <v>1200</v>
      </c>
      <c r="K71" s="21"/>
    </row>
    <row r="72" spans="1:11">
      <c r="A72" s="2">
        <v>242162</v>
      </c>
      <c r="B72" s="7" t="s">
        <v>4</v>
      </c>
      <c r="C72" s="3" t="str">
        <f>VLOOKUP(B72,'Accounts chart'!$A:$B,2,FALSE)</f>
        <v>ลูกหนี้ค่าส่วนกลาง</v>
      </c>
      <c r="D72" s="3" t="s">
        <v>709</v>
      </c>
      <c r="E72" t="s">
        <v>455</v>
      </c>
      <c r="F72" t="s">
        <v>182</v>
      </c>
      <c r="G72" t="str">
        <f>VLOOKUP(F72,รายชื่อลูกบ้าน!$A:$B,2,FALSE)</f>
        <v>คุณสิระพัชร์ หน่อแก้ว</v>
      </c>
      <c r="H72" t="s">
        <v>400</v>
      </c>
      <c r="J72" s="20">
        <v>600.53</v>
      </c>
      <c r="K72" s="21"/>
    </row>
    <row r="73" spans="1:11">
      <c r="A73" s="2">
        <v>242162</v>
      </c>
      <c r="B73" s="7" t="s">
        <v>4</v>
      </c>
      <c r="C73" s="3" t="str">
        <f>VLOOKUP(B73,'Accounts chart'!$A:$B,2,FALSE)</f>
        <v>ลูกหนี้ค่าส่วนกลาง</v>
      </c>
      <c r="D73" s="3" t="s">
        <v>709</v>
      </c>
      <c r="E73" t="s">
        <v>456</v>
      </c>
      <c r="F73" t="s">
        <v>161</v>
      </c>
      <c r="G73" t="str">
        <f>VLOOKUP(F73,รายชื่อลูกบ้าน!$A:$B,2,FALSE)</f>
        <v>คุณพงษ์พัฒนา มาบุญ</v>
      </c>
      <c r="H73" t="s">
        <v>400</v>
      </c>
      <c r="J73" s="20">
        <v>600</v>
      </c>
      <c r="K73" s="21"/>
    </row>
    <row r="74" spans="1:11">
      <c r="A74" s="2">
        <v>242162</v>
      </c>
      <c r="B74" s="7" t="s">
        <v>34</v>
      </c>
      <c r="C74" s="3" t="str">
        <f>VLOOKUP(B74,'Accounts chart'!$A:$B,2,FALSE)</f>
        <v>รายรับค่าส่วนกลาง</v>
      </c>
      <c r="D74" s="3" t="s">
        <v>709</v>
      </c>
      <c r="E74" t="s">
        <v>457</v>
      </c>
      <c r="F74" t="s">
        <v>262</v>
      </c>
      <c r="G74" t="str">
        <f>VLOOKUP(F74,รายชื่อลูกบ้าน!$A:$B,2,FALSE)</f>
        <v>คุณวินัย-คุณนุชนาฎ ลิ้มบุพศิริพร</v>
      </c>
      <c r="H74" t="s">
        <v>384</v>
      </c>
      <c r="J74" s="20">
        <v>600</v>
      </c>
      <c r="K74" s="21"/>
    </row>
    <row r="75" spans="1:11">
      <c r="A75" s="2">
        <v>242162</v>
      </c>
      <c r="B75" s="7" t="s">
        <v>34</v>
      </c>
      <c r="C75" s="3" t="str">
        <f>VLOOKUP(B75,'Accounts chart'!$A:$B,2,FALSE)</f>
        <v>รายรับค่าส่วนกลาง</v>
      </c>
      <c r="D75" s="3" t="s">
        <v>709</v>
      </c>
      <c r="E75" t="s">
        <v>458</v>
      </c>
      <c r="F75" t="s">
        <v>215</v>
      </c>
      <c r="G75" t="str">
        <f>VLOOKUP(F75,รายชื่อลูกบ้าน!$A:$B,2,FALSE)</f>
        <v>คุณสุพัตรา มงคลสหกุล</v>
      </c>
      <c r="H75" t="s">
        <v>383</v>
      </c>
      <c r="J75" s="20">
        <v>7000</v>
      </c>
      <c r="K75" s="21"/>
    </row>
    <row r="76" spans="1:11">
      <c r="A76" s="2">
        <v>242162</v>
      </c>
      <c r="B76" s="7" t="s">
        <v>4</v>
      </c>
      <c r="C76" s="3" t="str">
        <f>VLOOKUP(B76,'Accounts chart'!$A:$B,2,FALSE)</f>
        <v>ลูกหนี้ค่าส่วนกลาง</v>
      </c>
      <c r="D76" s="3" t="s">
        <v>709</v>
      </c>
      <c r="E76" t="s">
        <v>459</v>
      </c>
      <c r="F76" t="s">
        <v>189</v>
      </c>
      <c r="G76" t="str">
        <f>VLOOKUP(F76,รายชื่อลูกบ้าน!$A:$B,2,FALSE)</f>
        <v>คุณสิปปกร-คุณนิตยา รัตนพันธุ์</v>
      </c>
      <c r="H76" t="s">
        <v>404</v>
      </c>
      <c r="J76" s="20">
        <v>1800</v>
      </c>
      <c r="K76" s="21"/>
    </row>
    <row r="77" spans="1:11">
      <c r="A77" s="2">
        <v>242162</v>
      </c>
      <c r="B77" s="7" t="s">
        <v>34</v>
      </c>
      <c r="C77" s="3" t="str">
        <f>VLOOKUP(B77,'Accounts chart'!$A:$B,2,FALSE)</f>
        <v>รายรับค่าส่วนกลาง</v>
      </c>
      <c r="D77" s="3" t="s">
        <v>709</v>
      </c>
      <c r="E77" t="s">
        <v>460</v>
      </c>
      <c r="F77" t="s">
        <v>74</v>
      </c>
      <c r="G77" t="str">
        <f>VLOOKUP(F77,รายชื่อลูกบ้าน!$A:$B,2,FALSE)</f>
        <v>คุณคมกฤษณ์ เรืองเพ็ง</v>
      </c>
      <c r="H77" t="s">
        <v>384</v>
      </c>
      <c r="J77" s="20">
        <v>600</v>
      </c>
      <c r="K77" s="21"/>
    </row>
    <row r="78" spans="1:11">
      <c r="A78" s="2"/>
      <c r="C78" s="3"/>
      <c r="I78" s="20"/>
      <c r="J78" s="20"/>
      <c r="K78" s="21"/>
    </row>
    <row r="79" spans="1:11">
      <c r="A79" s="2">
        <v>242163</v>
      </c>
      <c r="B79" s="7" t="s">
        <v>3</v>
      </c>
      <c r="C79" s="3" t="str">
        <f>VLOOKUP(B79,'Accounts chart'!$A:$B,2,FALSE)</f>
        <v>ธนาคารกสิกรไทย SA-040-1-56500-0</v>
      </c>
      <c r="D79" s="3" t="s">
        <v>710</v>
      </c>
      <c r="E79" t="s">
        <v>461</v>
      </c>
      <c r="F79" t="s">
        <v>265</v>
      </c>
      <c r="G79" t="str">
        <f>VLOOKUP(F79,รายชื่อลูกบ้าน!$A:$B,2,FALSE)</f>
        <v>คุณรุ่งทิพา อินบัว</v>
      </c>
      <c r="H79" t="s">
        <v>383</v>
      </c>
      <c r="I79" s="20">
        <v>7000</v>
      </c>
      <c r="J79" s="20"/>
      <c r="K79" s="2"/>
    </row>
    <row r="80" spans="1:11">
      <c r="A80" s="2">
        <v>242163</v>
      </c>
      <c r="B80" s="7" t="s">
        <v>3</v>
      </c>
      <c r="C80" s="3" t="str">
        <f>VLOOKUP(B80,'Accounts chart'!$A:$B,2,FALSE)</f>
        <v>ธนาคารกสิกรไทย SA-040-1-56500-0</v>
      </c>
      <c r="D80" s="3" t="s">
        <v>710</v>
      </c>
      <c r="E80" t="s">
        <v>462</v>
      </c>
      <c r="F80" t="s">
        <v>107</v>
      </c>
      <c r="G80" t="str">
        <f>VLOOKUP(F80,รายชื่อลูกบ้าน!$A:$B,2,FALSE)</f>
        <v>คุณอนันต์ แจ่มจันทร์</v>
      </c>
      <c r="H80" t="s">
        <v>384</v>
      </c>
      <c r="I80" s="20">
        <v>600</v>
      </c>
      <c r="J80" s="20"/>
      <c r="K80" s="2"/>
    </row>
    <row r="81" spans="1:11">
      <c r="A81" s="2">
        <v>242163</v>
      </c>
      <c r="B81" s="7" t="s">
        <v>3</v>
      </c>
      <c r="C81" s="3" t="str">
        <f>VLOOKUP(B81,'Accounts chart'!$A:$B,2,FALSE)</f>
        <v>ธนาคารกสิกรไทย SA-040-1-56500-0</v>
      </c>
      <c r="D81" s="3" t="s">
        <v>710</v>
      </c>
      <c r="E81" t="s">
        <v>463</v>
      </c>
      <c r="F81" t="s">
        <v>374</v>
      </c>
      <c r="G81" t="str">
        <f>VLOOKUP(F81,รายชื่อลูกบ้าน!$A:$B,2,FALSE)</f>
        <v>คุณเกียรติภูมิ วิรติภูมิ</v>
      </c>
      <c r="H81" t="s">
        <v>384</v>
      </c>
      <c r="I81" s="20">
        <v>600.9</v>
      </c>
      <c r="J81" s="20"/>
      <c r="K81" s="21"/>
    </row>
    <row r="82" spans="1:11">
      <c r="A82" s="2">
        <v>242163</v>
      </c>
      <c r="B82" s="7" t="s">
        <v>3</v>
      </c>
      <c r="C82" s="3" t="str">
        <f>VLOOKUP(B82,'Accounts chart'!$A:$B,2,FALSE)</f>
        <v>ธนาคารกสิกรไทย SA-040-1-56500-0</v>
      </c>
      <c r="D82" s="3" t="s">
        <v>710</v>
      </c>
      <c r="E82" t="s">
        <v>464</v>
      </c>
      <c r="F82" t="s">
        <v>139</v>
      </c>
      <c r="G82" t="str">
        <f>VLOOKUP(F82,รายชื่อลูกบ้าน!$A:$B,2,FALSE)</f>
        <v>คุณอนุชิต ทองจันดี</v>
      </c>
      <c r="H82" t="s">
        <v>383</v>
      </c>
      <c r="I82" s="20">
        <v>7000</v>
      </c>
      <c r="J82" s="20"/>
      <c r="K82" s="2"/>
    </row>
    <row r="83" spans="1:11">
      <c r="A83" s="2">
        <v>242163</v>
      </c>
      <c r="B83" s="7" t="s">
        <v>3</v>
      </c>
      <c r="C83" s="3" t="str">
        <f>VLOOKUP(B83,'Accounts chart'!$A:$B,2,FALSE)</f>
        <v>ธนาคารกสิกรไทย SA-040-1-56500-0</v>
      </c>
      <c r="D83" s="3" t="s">
        <v>710</v>
      </c>
      <c r="E83" t="s">
        <v>465</v>
      </c>
      <c r="F83" t="s">
        <v>346</v>
      </c>
      <c r="G83" t="str">
        <f>VLOOKUP(F83,รายชื่อลูกบ้าน!$A:$B,2,FALSE)</f>
        <v>คุณอภิชาติ พูนแก้ว</v>
      </c>
      <c r="H83" t="s">
        <v>383</v>
      </c>
      <c r="I83" s="20">
        <v>7000</v>
      </c>
      <c r="J83" s="20"/>
      <c r="K83" s="2"/>
    </row>
    <row r="84" spans="1:11">
      <c r="A84" s="2">
        <v>242163</v>
      </c>
      <c r="B84" s="7" t="s">
        <v>3</v>
      </c>
      <c r="C84" s="3" t="str">
        <f>VLOOKUP(B84,'Accounts chart'!$A:$B,2,FALSE)</f>
        <v>ธนาคารกสิกรไทย SA-040-1-56500-0</v>
      </c>
      <c r="D84" s="3" t="s">
        <v>710</v>
      </c>
      <c r="E84" t="s">
        <v>466</v>
      </c>
      <c r="F84" t="s">
        <v>134</v>
      </c>
      <c r="G84" t="str">
        <f>VLOOKUP(F84,รายชื่อลูกบ้าน!$A:$B,2,FALSE)</f>
        <v>คุณอวยชัย ลีขสวัสดิ์</v>
      </c>
      <c r="H84" t="s">
        <v>400</v>
      </c>
      <c r="I84" s="20">
        <v>600</v>
      </c>
      <c r="J84" s="20"/>
      <c r="K84" s="2"/>
    </row>
    <row r="85" spans="1:11">
      <c r="A85" s="2">
        <v>242163</v>
      </c>
      <c r="B85" s="7" t="s">
        <v>3</v>
      </c>
      <c r="C85" s="3" t="str">
        <f>VLOOKUP(B85,'Accounts chart'!$A:$B,2,FALSE)</f>
        <v>ธนาคารกสิกรไทย SA-040-1-56500-0</v>
      </c>
      <c r="D85" s="3" t="s">
        <v>710</v>
      </c>
      <c r="E85" t="s">
        <v>467</v>
      </c>
      <c r="F85" t="s">
        <v>185</v>
      </c>
      <c r="G85" t="str">
        <f>VLOOKUP(F85,รายชื่อลูกบ้าน!$A:$B,2,FALSE)</f>
        <v>คุณชาญชัย ตนะศุภผล</v>
      </c>
      <c r="H85" t="s">
        <v>384</v>
      </c>
      <c r="I85" s="20">
        <v>600.54999999999995</v>
      </c>
      <c r="J85" s="20"/>
      <c r="K85" s="2"/>
    </row>
    <row r="86" spans="1:11">
      <c r="A86" s="2">
        <v>242163</v>
      </c>
      <c r="B86" s="7" t="s">
        <v>3</v>
      </c>
      <c r="C86" s="3" t="str">
        <f>VLOOKUP(B86,'Accounts chart'!$A:$B,2,FALSE)</f>
        <v>ธนาคารกสิกรไทย SA-040-1-56500-0</v>
      </c>
      <c r="D86" s="3" t="s">
        <v>710</v>
      </c>
      <c r="E86" t="s">
        <v>468</v>
      </c>
      <c r="F86" t="s">
        <v>298</v>
      </c>
      <c r="G86" t="str">
        <f>VLOOKUP(F86,รายชื่อลูกบ้าน!$A:$B,2,FALSE)</f>
        <v>คุณนิรดา เณรนุ่ม</v>
      </c>
      <c r="H86" t="s">
        <v>383</v>
      </c>
      <c r="I86" s="20">
        <v>7000</v>
      </c>
      <c r="J86" s="20"/>
      <c r="K86" s="2"/>
    </row>
    <row r="87" spans="1:11">
      <c r="A87" s="2">
        <v>242163</v>
      </c>
      <c r="B87" s="7" t="s">
        <v>3</v>
      </c>
      <c r="C87" s="3" t="str">
        <f>VLOOKUP(B87,'Accounts chart'!$A:$B,2,FALSE)</f>
        <v>ธนาคารกสิกรไทย SA-040-1-56500-0</v>
      </c>
      <c r="D87" s="3" t="s">
        <v>710</v>
      </c>
      <c r="E87" s="24" t="s">
        <v>469</v>
      </c>
      <c r="F87" t="s">
        <v>162</v>
      </c>
      <c r="G87" t="str">
        <f>VLOOKUP(F87,รายชื่อลูกบ้าน!$A:$B,2,FALSE)</f>
        <v>คุณศริตวรรธน์ ศรีวัฒนวรกุล</v>
      </c>
      <c r="H87" t="s">
        <v>405</v>
      </c>
      <c r="I87" s="20">
        <v>600</v>
      </c>
      <c r="J87" s="20"/>
      <c r="K87" s="22"/>
    </row>
    <row r="88" spans="1:11">
      <c r="A88" s="2">
        <v>242163</v>
      </c>
      <c r="B88" s="7" t="s">
        <v>3</v>
      </c>
      <c r="C88" s="3" t="str">
        <f>VLOOKUP(B88,'Accounts chart'!$A:$B,2,FALSE)</f>
        <v>ธนาคารกสิกรไทย SA-040-1-56500-0</v>
      </c>
      <c r="D88" s="3" t="s">
        <v>710</v>
      </c>
      <c r="E88" t="s">
        <v>470</v>
      </c>
      <c r="F88" t="s">
        <v>311</v>
      </c>
      <c r="G88" t="str">
        <f>VLOOKUP(F88,รายชื่อลูกบ้าน!$A:$B,2,FALSE)</f>
        <v>คุณปิยณัฐ ปัญญาสวัสดิ์</v>
      </c>
      <c r="H88" t="s">
        <v>384</v>
      </c>
      <c r="I88" s="20">
        <v>600</v>
      </c>
      <c r="J88" s="20"/>
      <c r="K88" s="2"/>
    </row>
    <row r="89" spans="1:11">
      <c r="A89" s="2">
        <v>242163</v>
      </c>
      <c r="B89" s="7" t="s">
        <v>3</v>
      </c>
      <c r="C89" s="3" t="str">
        <f>VLOOKUP(B89,'Accounts chart'!$A:$B,2,FALSE)</f>
        <v>ธนาคารกสิกรไทย SA-040-1-56500-0</v>
      </c>
      <c r="D89" s="3" t="s">
        <v>710</v>
      </c>
      <c r="E89" t="s">
        <v>471</v>
      </c>
      <c r="F89" t="s">
        <v>360</v>
      </c>
      <c r="G89" t="str">
        <f>VLOOKUP(F89,รายชื่อลูกบ้าน!$A:$B,2,FALSE)</f>
        <v>คุณวิษา มีมาก</v>
      </c>
      <c r="H89" t="s">
        <v>384</v>
      </c>
      <c r="I89" s="20">
        <v>600</v>
      </c>
      <c r="J89" s="20"/>
      <c r="K89" s="2"/>
    </row>
    <row r="90" spans="1:11">
      <c r="A90" s="2">
        <v>242163</v>
      </c>
      <c r="B90" s="7" t="s">
        <v>34</v>
      </c>
      <c r="C90" s="3" t="str">
        <f>VLOOKUP(B90,'Accounts chart'!$A:$B,2,FALSE)</f>
        <v>รายรับค่าส่วนกลาง</v>
      </c>
      <c r="D90" s="3" t="s">
        <v>710</v>
      </c>
      <c r="E90" t="s">
        <v>461</v>
      </c>
      <c r="F90" t="s">
        <v>265</v>
      </c>
      <c r="G90" t="str">
        <f>VLOOKUP(F90,รายชื่อลูกบ้าน!$A:$B,2,FALSE)</f>
        <v>คุณรุ่งทิพา อินบัว</v>
      </c>
      <c r="H90" t="s">
        <v>383</v>
      </c>
      <c r="J90" s="20">
        <v>7000</v>
      </c>
      <c r="K90" s="2"/>
    </row>
    <row r="91" spans="1:11">
      <c r="A91" s="2">
        <v>242163</v>
      </c>
      <c r="B91" s="7" t="s">
        <v>34</v>
      </c>
      <c r="C91" s="3" t="str">
        <f>VLOOKUP(B91,'Accounts chart'!$A:$B,2,FALSE)</f>
        <v>รายรับค่าส่วนกลาง</v>
      </c>
      <c r="D91" s="3" t="s">
        <v>710</v>
      </c>
      <c r="E91" t="s">
        <v>462</v>
      </c>
      <c r="F91" t="s">
        <v>107</v>
      </c>
      <c r="G91" t="str">
        <f>VLOOKUP(F91,รายชื่อลูกบ้าน!$A:$B,2,FALSE)</f>
        <v>คุณอนันต์ แจ่มจันทร์</v>
      </c>
      <c r="H91" t="s">
        <v>384</v>
      </c>
      <c r="J91" s="20">
        <v>600</v>
      </c>
      <c r="K91" s="2"/>
    </row>
    <row r="92" spans="1:11">
      <c r="A92" s="2">
        <v>242163</v>
      </c>
      <c r="B92" s="7" t="s">
        <v>34</v>
      </c>
      <c r="C92" s="3" t="str">
        <f>VLOOKUP(B92,'Accounts chart'!$A:$B,2,FALSE)</f>
        <v>รายรับค่าส่วนกลาง</v>
      </c>
      <c r="D92" s="3" t="s">
        <v>710</v>
      </c>
      <c r="E92" t="s">
        <v>463</v>
      </c>
      <c r="F92" t="s">
        <v>374</v>
      </c>
      <c r="G92" t="str">
        <f>VLOOKUP(F92,รายชื่อลูกบ้าน!$A:$B,2,FALSE)</f>
        <v>คุณเกียรติภูมิ วิรติภูมิ</v>
      </c>
      <c r="H92" t="s">
        <v>384</v>
      </c>
      <c r="J92" s="20">
        <v>600.9</v>
      </c>
      <c r="K92" s="2"/>
    </row>
    <row r="93" spans="1:11">
      <c r="A93" s="2">
        <v>242163</v>
      </c>
      <c r="B93" s="7" t="s">
        <v>34</v>
      </c>
      <c r="C93" s="3" t="str">
        <f>VLOOKUP(B93,'Accounts chart'!$A:$B,2,FALSE)</f>
        <v>รายรับค่าส่วนกลาง</v>
      </c>
      <c r="D93" s="3" t="s">
        <v>710</v>
      </c>
      <c r="E93" t="s">
        <v>464</v>
      </c>
      <c r="F93" t="s">
        <v>139</v>
      </c>
      <c r="G93" t="str">
        <f>VLOOKUP(F93,รายชื่อลูกบ้าน!$A:$B,2,FALSE)</f>
        <v>คุณอนุชิต ทองจันดี</v>
      </c>
      <c r="H93" t="s">
        <v>383</v>
      </c>
      <c r="J93" s="20">
        <v>7000</v>
      </c>
      <c r="K93" s="2"/>
    </row>
    <row r="94" spans="1:11">
      <c r="A94" s="2">
        <v>242163</v>
      </c>
      <c r="B94" s="7" t="s">
        <v>34</v>
      </c>
      <c r="C94" s="3" t="str">
        <f>VLOOKUP(B94,'Accounts chart'!$A:$B,2,FALSE)</f>
        <v>รายรับค่าส่วนกลาง</v>
      </c>
      <c r="D94" s="3" t="s">
        <v>710</v>
      </c>
      <c r="E94" t="s">
        <v>465</v>
      </c>
      <c r="F94" t="s">
        <v>346</v>
      </c>
      <c r="G94" t="str">
        <f>VLOOKUP(F94,รายชื่อลูกบ้าน!$A:$B,2,FALSE)</f>
        <v>คุณอภิชาติ พูนแก้ว</v>
      </c>
      <c r="H94" t="s">
        <v>383</v>
      </c>
      <c r="J94" s="20">
        <v>7000</v>
      </c>
      <c r="K94" s="2"/>
    </row>
    <row r="95" spans="1:11">
      <c r="A95" s="2">
        <v>242163</v>
      </c>
      <c r="B95" s="7" t="s">
        <v>4</v>
      </c>
      <c r="C95" s="3" t="str">
        <f>VLOOKUP(B95,'Accounts chart'!$A:$B,2,FALSE)</f>
        <v>ลูกหนี้ค่าส่วนกลาง</v>
      </c>
      <c r="D95" s="3" t="s">
        <v>710</v>
      </c>
      <c r="E95" t="s">
        <v>466</v>
      </c>
      <c r="F95" t="s">
        <v>134</v>
      </c>
      <c r="G95" t="str">
        <f>VLOOKUP(F95,รายชื่อลูกบ้าน!$A:$B,2,FALSE)</f>
        <v>คุณอวยชัย ลีขสวัสดิ์</v>
      </c>
      <c r="H95" t="s">
        <v>400</v>
      </c>
      <c r="J95" s="20">
        <v>600</v>
      </c>
      <c r="K95" s="2"/>
    </row>
    <row r="96" spans="1:11">
      <c r="A96" s="2">
        <v>242163</v>
      </c>
      <c r="B96" s="7" t="s">
        <v>34</v>
      </c>
      <c r="C96" s="3" t="str">
        <f>VLOOKUP(B96,'Accounts chart'!$A:$B,2,FALSE)</f>
        <v>รายรับค่าส่วนกลาง</v>
      </c>
      <c r="D96" s="3" t="s">
        <v>710</v>
      </c>
      <c r="E96" t="s">
        <v>467</v>
      </c>
      <c r="F96" t="s">
        <v>185</v>
      </c>
      <c r="G96" t="str">
        <f>VLOOKUP(F96,รายชื่อลูกบ้าน!$A:$B,2,FALSE)</f>
        <v>คุณชาญชัย ตนะศุภผล</v>
      </c>
      <c r="H96" t="s">
        <v>384</v>
      </c>
      <c r="J96" s="20">
        <v>600.54999999999995</v>
      </c>
      <c r="K96" s="2"/>
    </row>
    <row r="97" spans="1:11">
      <c r="A97" s="2">
        <v>242163</v>
      </c>
      <c r="B97" s="7" t="s">
        <v>34</v>
      </c>
      <c r="C97" s="3" t="str">
        <f>VLOOKUP(B97,'Accounts chart'!$A:$B,2,FALSE)</f>
        <v>รายรับค่าส่วนกลาง</v>
      </c>
      <c r="D97" s="3" t="s">
        <v>710</v>
      </c>
      <c r="E97" t="s">
        <v>468</v>
      </c>
      <c r="F97" t="s">
        <v>298</v>
      </c>
      <c r="G97" t="str">
        <f>VLOOKUP(F97,รายชื่อลูกบ้าน!$A:$B,2,FALSE)</f>
        <v>คุณนิรดา เณรนุ่ม</v>
      </c>
      <c r="H97" t="s">
        <v>383</v>
      </c>
      <c r="J97" s="20">
        <v>7000</v>
      </c>
      <c r="K97" s="2"/>
    </row>
    <row r="98" spans="1:11">
      <c r="A98" s="2">
        <v>242163</v>
      </c>
      <c r="B98" s="7" t="s">
        <v>34</v>
      </c>
      <c r="C98" s="3" t="str">
        <f>VLOOKUP(B98,'Accounts chart'!$A:$B,2,FALSE)</f>
        <v>รายรับค่าส่วนกลาง</v>
      </c>
      <c r="D98" s="3" t="s">
        <v>710</v>
      </c>
      <c r="E98" s="24" t="s">
        <v>469</v>
      </c>
      <c r="F98" t="s">
        <v>162</v>
      </c>
      <c r="G98" t="str">
        <f>VLOOKUP(F98,รายชื่อลูกบ้าน!$A:$B,2,FALSE)</f>
        <v>คุณศริตวรรธน์ ศรีวัฒนวรกุล</v>
      </c>
      <c r="H98" t="s">
        <v>405</v>
      </c>
      <c r="J98" s="20">
        <v>600</v>
      </c>
      <c r="K98" s="2"/>
    </row>
    <row r="99" spans="1:11">
      <c r="A99" s="2">
        <v>242163</v>
      </c>
      <c r="B99" s="7" t="s">
        <v>34</v>
      </c>
      <c r="C99" s="3" t="str">
        <f>VLOOKUP(B99,'Accounts chart'!$A:$B,2,FALSE)</f>
        <v>รายรับค่าส่วนกลาง</v>
      </c>
      <c r="D99" s="3" t="s">
        <v>710</v>
      </c>
      <c r="E99" t="s">
        <v>470</v>
      </c>
      <c r="F99" t="s">
        <v>311</v>
      </c>
      <c r="G99" t="str">
        <f>VLOOKUP(F99,รายชื่อลูกบ้าน!$A:$B,2,FALSE)</f>
        <v>คุณปิยณัฐ ปัญญาสวัสดิ์</v>
      </c>
      <c r="H99" t="s">
        <v>384</v>
      </c>
      <c r="J99" s="20">
        <v>600</v>
      </c>
      <c r="K99" s="2"/>
    </row>
    <row r="100" spans="1:11">
      <c r="A100" s="2">
        <v>242163</v>
      </c>
      <c r="B100" s="7" t="s">
        <v>34</v>
      </c>
      <c r="C100" s="3" t="str">
        <f>VLOOKUP(B100,'Accounts chart'!$A:$B,2,FALSE)</f>
        <v>รายรับค่าส่วนกลาง</v>
      </c>
      <c r="D100" s="3" t="s">
        <v>710</v>
      </c>
      <c r="E100" t="s">
        <v>471</v>
      </c>
      <c r="F100" t="s">
        <v>360</v>
      </c>
      <c r="G100" t="str">
        <f>VLOOKUP(F100,รายชื่อลูกบ้าน!$A:$B,2,FALSE)</f>
        <v>คุณวิษา มีมาก</v>
      </c>
      <c r="H100" t="s">
        <v>384</v>
      </c>
      <c r="J100" s="20">
        <v>600</v>
      </c>
      <c r="K100" s="2"/>
    </row>
    <row r="101" spans="1:11">
      <c r="A101" s="2"/>
      <c r="C101" s="3"/>
      <c r="I101" s="20"/>
      <c r="J101" s="20"/>
      <c r="K101" s="2"/>
    </row>
    <row r="102" spans="1:11">
      <c r="A102" s="2">
        <v>242164</v>
      </c>
      <c r="B102" s="7" t="s">
        <v>3</v>
      </c>
      <c r="C102" s="3" t="str">
        <f>VLOOKUP(B102,'Accounts chart'!$A:$B,2,FALSE)</f>
        <v>ธนาคารกสิกรไทย SA-040-1-56500-0</v>
      </c>
      <c r="D102" s="3" t="s">
        <v>711</v>
      </c>
      <c r="E102" t="s">
        <v>472</v>
      </c>
      <c r="F102" t="s">
        <v>256</v>
      </c>
      <c r="G102" t="str">
        <f>VLOOKUP(F102,รายชื่อลูกบ้าน!$A:$B,2,FALSE)</f>
        <v>คุณพิชชา ขำสุวรรณ</v>
      </c>
      <c r="H102" t="s">
        <v>403</v>
      </c>
      <c r="I102" s="20">
        <v>1200</v>
      </c>
      <c r="J102" s="20"/>
      <c r="K102" s="2"/>
    </row>
    <row r="103" spans="1:11">
      <c r="A103" s="2">
        <v>242164</v>
      </c>
      <c r="B103" s="7" t="s">
        <v>3</v>
      </c>
      <c r="C103" s="3" t="str">
        <f>VLOOKUP(B103,'Accounts chart'!$A:$B,2,FALSE)</f>
        <v>ธนาคารกสิกรไทย SA-040-1-56500-0</v>
      </c>
      <c r="D103" s="3" t="s">
        <v>711</v>
      </c>
      <c r="E103" t="s">
        <v>473</v>
      </c>
      <c r="F103" t="s">
        <v>234</v>
      </c>
      <c r="G103" t="str">
        <f>VLOOKUP(F103,รายชื่อลูกบ้าน!$A:$B,2,FALSE)</f>
        <v>คุณประภัสสร บุญบันดล</v>
      </c>
      <c r="H103" t="s">
        <v>406</v>
      </c>
      <c r="I103" s="20">
        <v>4200</v>
      </c>
      <c r="J103" s="20"/>
      <c r="K103" s="2"/>
    </row>
    <row r="104" spans="1:11">
      <c r="A104" s="2">
        <v>242164</v>
      </c>
      <c r="B104" s="7" t="s">
        <v>3</v>
      </c>
      <c r="C104" s="3" t="str">
        <f>VLOOKUP(B104,'Accounts chart'!$A:$B,2,FALSE)</f>
        <v>ธนาคารกสิกรไทย SA-040-1-56500-0</v>
      </c>
      <c r="D104" s="3" t="s">
        <v>711</v>
      </c>
      <c r="E104" t="s">
        <v>474</v>
      </c>
      <c r="F104" t="s">
        <v>159</v>
      </c>
      <c r="G104" t="str">
        <f>VLOOKUP(F104,รายชื่อลูกบ้าน!$A:$B,2,FALSE)</f>
        <v>คุณอดุลย์ แก้วอำไพ</v>
      </c>
      <c r="H104" t="s">
        <v>384</v>
      </c>
      <c r="I104" s="20">
        <v>600.38</v>
      </c>
      <c r="J104" s="20"/>
      <c r="K104" s="21"/>
    </row>
    <row r="105" spans="1:11">
      <c r="A105" s="2">
        <v>242164</v>
      </c>
      <c r="B105" s="7" t="s">
        <v>3</v>
      </c>
      <c r="C105" s="3" t="str">
        <f>VLOOKUP(B105,'Accounts chart'!$A:$B,2,FALSE)</f>
        <v>ธนาคารกสิกรไทย SA-040-1-56500-0</v>
      </c>
      <c r="D105" s="3" t="s">
        <v>711</v>
      </c>
      <c r="E105" t="s">
        <v>475</v>
      </c>
      <c r="F105" t="s">
        <v>305</v>
      </c>
      <c r="G105" t="str">
        <f>VLOOKUP(F105,รายชื่อลูกบ้าน!$A:$B,2,FALSE)</f>
        <v>คุณภาสกร ชาญบรรยง</v>
      </c>
      <c r="H105" t="s">
        <v>383</v>
      </c>
      <c r="I105" s="20">
        <v>7000</v>
      </c>
      <c r="J105" s="20"/>
      <c r="K105" s="2"/>
    </row>
    <row r="106" spans="1:11">
      <c r="A106" s="2">
        <v>242164</v>
      </c>
      <c r="B106" s="7" t="s">
        <v>3</v>
      </c>
      <c r="C106" s="3" t="str">
        <f>VLOOKUP(B106,'Accounts chart'!$A:$B,2,FALSE)</f>
        <v>ธนาคารกสิกรไทย SA-040-1-56500-0</v>
      </c>
      <c r="D106" s="3" t="s">
        <v>711</v>
      </c>
      <c r="E106" t="s">
        <v>476</v>
      </c>
      <c r="F106" t="s">
        <v>223</v>
      </c>
      <c r="G106" t="str">
        <f>VLOOKUP(F106,รายชื่อลูกบ้าน!$A:$B,2,FALSE)</f>
        <v>คุณสุจิตรา เนินคีริ</v>
      </c>
      <c r="H106" t="s">
        <v>400</v>
      </c>
      <c r="I106" s="20">
        <v>600</v>
      </c>
      <c r="J106" s="20"/>
      <c r="K106" s="2"/>
    </row>
    <row r="107" spans="1:11">
      <c r="A107" s="2">
        <v>242164</v>
      </c>
      <c r="B107" s="7" t="s">
        <v>3</v>
      </c>
      <c r="C107" s="3" t="str">
        <f>VLOOKUP(B107,'Accounts chart'!$A:$B,2,FALSE)</f>
        <v>ธนาคารกสิกรไทย SA-040-1-56500-0</v>
      </c>
      <c r="D107" s="3" t="s">
        <v>711</v>
      </c>
      <c r="E107" t="s">
        <v>477</v>
      </c>
      <c r="F107" t="s">
        <v>167</v>
      </c>
      <c r="G107" t="str">
        <f>VLOOKUP(F107,รายชื่อลูกบ้าน!$A:$B,2,FALSE)</f>
        <v>คุณคฑาวุธ พิมลศรี</v>
      </c>
      <c r="H107" t="s">
        <v>400</v>
      </c>
      <c r="I107" s="20">
        <v>600</v>
      </c>
      <c r="J107" s="20"/>
      <c r="K107" s="2"/>
    </row>
    <row r="108" spans="1:11">
      <c r="A108" s="2">
        <v>242164</v>
      </c>
      <c r="B108" s="7" t="s">
        <v>3</v>
      </c>
      <c r="C108" s="3" t="str">
        <f>VLOOKUP(B108,'Accounts chart'!$A:$B,2,FALSE)</f>
        <v>ธนาคารกสิกรไทย SA-040-1-56500-0</v>
      </c>
      <c r="D108" s="3" t="s">
        <v>711</v>
      </c>
      <c r="E108" t="s">
        <v>478</v>
      </c>
      <c r="F108" t="s">
        <v>277</v>
      </c>
      <c r="G108" t="str">
        <f>VLOOKUP(F108,รายชื่อลูกบ้าน!$A:$B,2,FALSE)</f>
        <v>คุณสุกิจ พยัฆศิริ</v>
      </c>
      <c r="H108" t="s">
        <v>400</v>
      </c>
      <c r="I108" s="20">
        <v>600</v>
      </c>
      <c r="J108" s="20"/>
      <c r="K108" s="2"/>
    </row>
    <row r="109" spans="1:11">
      <c r="A109" s="2">
        <v>242164</v>
      </c>
      <c r="B109" s="7" t="s">
        <v>3</v>
      </c>
      <c r="C109" s="3" t="str">
        <f>VLOOKUP(B109,'Accounts chart'!$A:$B,2,FALSE)</f>
        <v>ธนาคารกสิกรไทย SA-040-1-56500-0</v>
      </c>
      <c r="D109" s="3" t="s">
        <v>711</v>
      </c>
      <c r="E109" t="s">
        <v>479</v>
      </c>
      <c r="F109" t="s">
        <v>231</v>
      </c>
      <c r="G109" t="str">
        <f>VLOOKUP(F109,รายชื่อลูกบ้าน!$A:$B,2,FALSE)</f>
        <v>คุณบุรินทร์ โพธิจันดี</v>
      </c>
      <c r="H109" t="s">
        <v>383</v>
      </c>
      <c r="I109" s="20">
        <v>7000</v>
      </c>
      <c r="J109" s="20"/>
      <c r="K109" s="2"/>
    </row>
    <row r="110" spans="1:11">
      <c r="A110" s="2">
        <v>242164</v>
      </c>
      <c r="B110" s="7" t="s">
        <v>4</v>
      </c>
      <c r="C110" s="3" t="str">
        <f>VLOOKUP(B110,'Accounts chart'!$A:$B,2,FALSE)</f>
        <v>ลูกหนี้ค่าส่วนกลาง</v>
      </c>
      <c r="D110" s="3" t="s">
        <v>711</v>
      </c>
      <c r="E110" t="s">
        <v>472</v>
      </c>
      <c r="F110" t="s">
        <v>256</v>
      </c>
      <c r="G110" t="str">
        <f>VLOOKUP(F110,รายชื่อลูกบ้าน!$A:$B,2,FALSE)</f>
        <v>คุณพิชชา ขำสุวรรณ</v>
      </c>
      <c r="H110" t="s">
        <v>403</v>
      </c>
      <c r="J110" s="20">
        <v>1200</v>
      </c>
      <c r="K110" s="2"/>
    </row>
    <row r="111" spans="1:11">
      <c r="A111" s="2">
        <v>242164</v>
      </c>
      <c r="B111" s="7" t="s">
        <v>4</v>
      </c>
      <c r="C111" s="3" t="str">
        <f>VLOOKUP(B111,'Accounts chart'!$A:$B,2,FALSE)</f>
        <v>ลูกหนี้ค่าส่วนกลาง</v>
      </c>
      <c r="D111" s="3" t="s">
        <v>711</v>
      </c>
      <c r="E111" t="s">
        <v>473</v>
      </c>
      <c r="F111" t="s">
        <v>234</v>
      </c>
      <c r="G111" t="str">
        <f>VLOOKUP(F111,รายชื่อลูกบ้าน!$A:$B,2,FALSE)</f>
        <v>คุณประภัสสร บุญบันดล</v>
      </c>
      <c r="H111" t="s">
        <v>406</v>
      </c>
      <c r="J111" s="20">
        <v>4200</v>
      </c>
      <c r="K111" s="2"/>
    </row>
    <row r="112" spans="1:11">
      <c r="A112" s="2">
        <v>242164</v>
      </c>
      <c r="B112" s="7" t="s">
        <v>34</v>
      </c>
      <c r="C112" s="3" t="str">
        <f>VLOOKUP(B112,'Accounts chart'!$A:$B,2,FALSE)</f>
        <v>รายรับค่าส่วนกลาง</v>
      </c>
      <c r="D112" s="3" t="s">
        <v>711</v>
      </c>
      <c r="E112" t="s">
        <v>474</v>
      </c>
      <c r="F112" t="s">
        <v>159</v>
      </c>
      <c r="G112" t="str">
        <f>VLOOKUP(F112,รายชื่อลูกบ้าน!$A:$B,2,FALSE)</f>
        <v>คุณอดุลย์ แก้วอำไพ</v>
      </c>
      <c r="H112" t="s">
        <v>384</v>
      </c>
      <c r="J112" s="20">
        <v>600.38</v>
      </c>
      <c r="K112" s="2"/>
    </row>
    <row r="113" spans="1:11">
      <c r="A113" s="2">
        <v>242164</v>
      </c>
      <c r="B113" s="7" t="s">
        <v>34</v>
      </c>
      <c r="C113" s="3" t="str">
        <f>VLOOKUP(B113,'Accounts chart'!$A:$B,2,FALSE)</f>
        <v>รายรับค่าส่วนกลาง</v>
      </c>
      <c r="D113" s="3" t="s">
        <v>711</v>
      </c>
      <c r="E113" t="s">
        <v>475</v>
      </c>
      <c r="F113" t="s">
        <v>305</v>
      </c>
      <c r="G113" t="str">
        <f>VLOOKUP(F113,รายชื่อลูกบ้าน!$A:$B,2,FALSE)</f>
        <v>คุณภาสกร ชาญบรรยง</v>
      </c>
      <c r="H113" t="s">
        <v>383</v>
      </c>
      <c r="J113" s="20">
        <v>7000</v>
      </c>
      <c r="K113" s="2"/>
    </row>
    <row r="114" spans="1:11">
      <c r="A114" s="2">
        <v>242164</v>
      </c>
      <c r="B114" s="7" t="s">
        <v>4</v>
      </c>
      <c r="C114" s="3" t="str">
        <f>VLOOKUP(B114,'Accounts chart'!$A:$B,2,FALSE)</f>
        <v>ลูกหนี้ค่าส่วนกลาง</v>
      </c>
      <c r="D114" s="3" t="s">
        <v>711</v>
      </c>
      <c r="E114" t="s">
        <v>476</v>
      </c>
      <c r="F114" t="s">
        <v>223</v>
      </c>
      <c r="G114" t="str">
        <f>VLOOKUP(F114,รายชื่อลูกบ้าน!$A:$B,2,FALSE)</f>
        <v>คุณสุจิตรา เนินคีริ</v>
      </c>
      <c r="H114" t="s">
        <v>400</v>
      </c>
      <c r="J114" s="20">
        <v>600</v>
      </c>
      <c r="K114" s="2"/>
    </row>
    <row r="115" spans="1:11">
      <c r="A115" s="2">
        <v>242164</v>
      </c>
      <c r="B115" s="7" t="s">
        <v>4</v>
      </c>
      <c r="C115" s="3" t="str">
        <f>VLOOKUP(B115,'Accounts chart'!$A:$B,2,FALSE)</f>
        <v>ลูกหนี้ค่าส่วนกลาง</v>
      </c>
      <c r="D115" s="3" t="s">
        <v>711</v>
      </c>
      <c r="E115" t="s">
        <v>477</v>
      </c>
      <c r="F115" t="s">
        <v>167</v>
      </c>
      <c r="G115" t="str">
        <f>VLOOKUP(F115,รายชื่อลูกบ้าน!$A:$B,2,FALSE)</f>
        <v>คุณคฑาวุธ พิมลศรี</v>
      </c>
      <c r="H115" t="s">
        <v>400</v>
      </c>
      <c r="J115" s="20">
        <v>600</v>
      </c>
      <c r="K115" s="2"/>
    </row>
    <row r="116" spans="1:11">
      <c r="A116" s="2">
        <v>242164</v>
      </c>
      <c r="B116" s="7" t="s">
        <v>4</v>
      </c>
      <c r="C116" s="3" t="str">
        <f>VLOOKUP(B116,'Accounts chart'!$A:$B,2,FALSE)</f>
        <v>ลูกหนี้ค่าส่วนกลาง</v>
      </c>
      <c r="D116" s="3" t="s">
        <v>711</v>
      </c>
      <c r="E116" t="s">
        <v>478</v>
      </c>
      <c r="F116" t="s">
        <v>277</v>
      </c>
      <c r="G116" t="str">
        <f>VLOOKUP(F116,รายชื่อลูกบ้าน!$A:$B,2,FALSE)</f>
        <v>คุณสุกิจ พยัฆศิริ</v>
      </c>
      <c r="H116" t="s">
        <v>400</v>
      </c>
      <c r="J116" s="20">
        <v>600</v>
      </c>
      <c r="K116" s="2"/>
    </row>
    <row r="117" spans="1:11">
      <c r="A117" s="2">
        <v>242164</v>
      </c>
      <c r="B117" s="7" t="s">
        <v>34</v>
      </c>
      <c r="C117" s="3" t="str">
        <f>VLOOKUP(B117,'Accounts chart'!$A:$B,2,FALSE)</f>
        <v>รายรับค่าส่วนกลาง</v>
      </c>
      <c r="D117" s="3" t="s">
        <v>711</v>
      </c>
      <c r="E117" t="s">
        <v>479</v>
      </c>
      <c r="F117" t="s">
        <v>231</v>
      </c>
      <c r="G117" t="str">
        <f>VLOOKUP(F117,รายชื่อลูกบ้าน!$A:$B,2,FALSE)</f>
        <v>คุณบุรินทร์ โพธิจันดี</v>
      </c>
      <c r="H117" t="s">
        <v>383</v>
      </c>
      <c r="J117" s="20">
        <v>7000</v>
      </c>
      <c r="K117" s="2"/>
    </row>
    <row r="118" spans="1:11">
      <c r="A118" s="2"/>
      <c r="C118" s="3"/>
      <c r="I118" s="20"/>
      <c r="J118" s="20"/>
      <c r="K118" s="2"/>
    </row>
    <row r="119" spans="1:11">
      <c r="A119" s="2">
        <v>242165</v>
      </c>
      <c r="B119" s="7" t="s">
        <v>3</v>
      </c>
      <c r="C119" s="3" t="str">
        <f>VLOOKUP(B119,'Accounts chart'!$A:$B,2,FALSE)</f>
        <v>ธนาคารกสิกรไทย SA-040-1-56500-0</v>
      </c>
      <c r="D119" s="3" t="s">
        <v>712</v>
      </c>
      <c r="E119" t="s">
        <v>480</v>
      </c>
      <c r="F119" t="s">
        <v>258</v>
      </c>
      <c r="G119" t="str">
        <f>VLOOKUP(F119,รายชื่อลูกบ้าน!$A:$B,2,FALSE)</f>
        <v>คุณณัฏฐชัย ปรีดีสนิท</v>
      </c>
      <c r="H119" t="s">
        <v>404</v>
      </c>
      <c r="I119" s="20">
        <v>1800</v>
      </c>
      <c r="J119" s="20"/>
      <c r="K119" s="2"/>
    </row>
    <row r="120" spans="1:11">
      <c r="A120" s="2">
        <v>242165</v>
      </c>
      <c r="B120" s="7" t="s">
        <v>3</v>
      </c>
      <c r="C120" s="3" t="str">
        <f>VLOOKUP(B120,'Accounts chart'!$A:$B,2,FALSE)</f>
        <v>ธนาคารกสิกรไทย SA-040-1-56500-0</v>
      </c>
      <c r="D120" s="3" t="s">
        <v>712</v>
      </c>
      <c r="E120" t="s">
        <v>481</v>
      </c>
      <c r="F120" t="s">
        <v>258</v>
      </c>
      <c r="G120" t="str">
        <f>VLOOKUP(F120,รายชื่อลูกบ้าน!$A:$B,2,FALSE)</f>
        <v>คุณณัฏฐชัย ปรีดีสนิท</v>
      </c>
      <c r="H120" t="s">
        <v>384</v>
      </c>
      <c r="I120" s="20">
        <v>600</v>
      </c>
      <c r="J120" s="20"/>
      <c r="K120" s="2"/>
    </row>
    <row r="121" spans="1:11">
      <c r="A121" s="2">
        <v>242165</v>
      </c>
      <c r="B121" s="7" t="s">
        <v>3</v>
      </c>
      <c r="C121" s="3" t="str">
        <f>VLOOKUP(B121,'Accounts chart'!$A:$B,2,FALSE)</f>
        <v>ธนาคารกสิกรไทย SA-040-1-56500-0</v>
      </c>
      <c r="D121" s="3" t="s">
        <v>712</v>
      </c>
      <c r="E121" t="s">
        <v>482</v>
      </c>
      <c r="F121" t="s">
        <v>99</v>
      </c>
      <c r="G121" t="str">
        <f>VLOOKUP(F121,รายชื่อลูกบ้าน!$A:$B,2,FALSE)</f>
        <v>คุณพิพัฒน์ บุญจันทร์</v>
      </c>
      <c r="H121" t="s">
        <v>383</v>
      </c>
      <c r="I121" s="20">
        <v>7000</v>
      </c>
      <c r="J121" s="20"/>
      <c r="K121" s="2"/>
    </row>
    <row r="122" spans="1:11">
      <c r="A122" s="2">
        <v>242165</v>
      </c>
      <c r="B122" s="7" t="s">
        <v>3</v>
      </c>
      <c r="C122" s="3" t="str">
        <f>VLOOKUP(B122,'Accounts chart'!$A:$B,2,FALSE)</f>
        <v>ธนาคารกสิกรไทย SA-040-1-56500-0</v>
      </c>
      <c r="D122" s="3" t="s">
        <v>712</v>
      </c>
      <c r="E122" t="s">
        <v>483</v>
      </c>
      <c r="F122" t="s">
        <v>169</v>
      </c>
      <c r="G122" t="str">
        <f>VLOOKUP(F122,รายชื่อลูกบ้าน!$A:$B,2,FALSE)</f>
        <v>คุณสุธาสินี แซ่อุ้ย</v>
      </c>
      <c r="H122" t="s">
        <v>383</v>
      </c>
      <c r="I122" s="20">
        <v>7000</v>
      </c>
      <c r="J122" s="20"/>
      <c r="K122" s="2"/>
    </row>
    <row r="123" spans="1:11">
      <c r="A123" s="2">
        <v>242165</v>
      </c>
      <c r="B123" s="7" t="s">
        <v>3</v>
      </c>
      <c r="C123" s="3" t="str">
        <f>VLOOKUP(B123,'Accounts chart'!$A:$B,2,FALSE)</f>
        <v>ธนาคารกสิกรไทย SA-040-1-56500-0</v>
      </c>
      <c r="D123" s="3" t="s">
        <v>712</v>
      </c>
      <c r="E123" t="s">
        <v>484</v>
      </c>
      <c r="F123" t="s">
        <v>180</v>
      </c>
      <c r="G123" t="str">
        <f>VLOOKUP(F123,รายชื่อลูกบ้าน!$A:$B,2,FALSE)</f>
        <v>ว่าที่ร.ต.ศราวุธ ไตยสุวรรณ</v>
      </c>
      <c r="H123" t="s">
        <v>404</v>
      </c>
      <c r="I123" s="20">
        <v>1800</v>
      </c>
      <c r="J123" s="20"/>
      <c r="K123" s="2"/>
    </row>
    <row r="124" spans="1:11">
      <c r="A124" s="2">
        <v>242165</v>
      </c>
      <c r="B124" s="7" t="s">
        <v>3</v>
      </c>
      <c r="C124" s="3" t="str">
        <f>VLOOKUP(B124,'Accounts chart'!$A:$B,2,FALSE)</f>
        <v>ธนาคารกสิกรไทย SA-040-1-56500-0</v>
      </c>
      <c r="D124" s="3" t="s">
        <v>712</v>
      </c>
      <c r="E124" t="s">
        <v>485</v>
      </c>
      <c r="F124" t="s">
        <v>269</v>
      </c>
      <c r="G124" t="str">
        <f>VLOOKUP(F124,รายชื่อลูกบ้าน!$A:$B,2,FALSE)</f>
        <v>คุณรัฐพงศ์ สาระสิทธิ์</v>
      </c>
      <c r="H124" t="s">
        <v>383</v>
      </c>
      <c r="I124" s="20">
        <v>7000</v>
      </c>
      <c r="J124" s="20"/>
      <c r="K124" s="2"/>
    </row>
    <row r="125" spans="1:11">
      <c r="A125" s="2">
        <v>242165</v>
      </c>
      <c r="B125" s="7" t="s">
        <v>3</v>
      </c>
      <c r="C125" s="3" t="str">
        <f>VLOOKUP(B125,'Accounts chart'!$A:$B,2,FALSE)</f>
        <v>ธนาคารกสิกรไทย SA-040-1-56500-0</v>
      </c>
      <c r="D125" s="3" t="s">
        <v>712</v>
      </c>
      <c r="E125" t="s">
        <v>486</v>
      </c>
      <c r="F125" t="s">
        <v>146</v>
      </c>
      <c r="G125" t="str">
        <f>VLOOKUP(F125,รายชื่อลูกบ้าน!$A:$B,2,FALSE)</f>
        <v>คุณชลาลัย เสมอสุข</v>
      </c>
      <c r="H125" t="s">
        <v>383</v>
      </c>
      <c r="I125" s="20">
        <v>7000</v>
      </c>
      <c r="J125" s="20"/>
      <c r="K125" s="2"/>
    </row>
    <row r="126" spans="1:11">
      <c r="A126" s="2">
        <v>242165</v>
      </c>
      <c r="B126" s="7" t="s">
        <v>3</v>
      </c>
      <c r="C126" s="3" t="str">
        <f>VLOOKUP(B126,'Accounts chart'!$A:$B,2,FALSE)</f>
        <v>ธนาคารกสิกรไทย SA-040-1-56500-0</v>
      </c>
      <c r="D126" s="3" t="s">
        <v>712</v>
      </c>
      <c r="E126" t="s">
        <v>487</v>
      </c>
      <c r="F126" t="s">
        <v>354</v>
      </c>
      <c r="G126" t="str">
        <f>VLOOKUP(F126,รายชื่อลูกบ้าน!$A:$B,2,FALSE)</f>
        <v>คุณสุรัตน์ พันธุ์แย้มมาลี</v>
      </c>
      <c r="H126" t="s">
        <v>384</v>
      </c>
      <c r="I126" s="20">
        <v>600</v>
      </c>
      <c r="J126" s="20"/>
      <c r="K126" s="21"/>
    </row>
    <row r="127" spans="1:11">
      <c r="A127" s="2">
        <v>242165</v>
      </c>
      <c r="B127" s="7" t="s">
        <v>4</v>
      </c>
      <c r="C127" s="3" t="str">
        <f>VLOOKUP(B127,'Accounts chart'!$A:$B,2,FALSE)</f>
        <v>ลูกหนี้ค่าส่วนกลาง</v>
      </c>
      <c r="D127" s="3" t="s">
        <v>712</v>
      </c>
      <c r="E127" t="s">
        <v>480</v>
      </c>
      <c r="F127" t="s">
        <v>258</v>
      </c>
      <c r="G127" t="str">
        <f>VLOOKUP(F127,รายชื่อลูกบ้าน!$A:$B,2,FALSE)</f>
        <v>คุณณัฏฐชัย ปรีดีสนิท</v>
      </c>
      <c r="H127" t="s">
        <v>404</v>
      </c>
      <c r="J127" s="20">
        <v>1800</v>
      </c>
      <c r="K127" s="21"/>
    </row>
    <row r="128" spans="1:11">
      <c r="A128" s="2">
        <v>242165</v>
      </c>
      <c r="B128" s="7" t="s">
        <v>34</v>
      </c>
      <c r="C128" s="3" t="str">
        <f>VLOOKUP(B128,'Accounts chart'!$A:$B,2,FALSE)</f>
        <v>รายรับค่าส่วนกลาง</v>
      </c>
      <c r="D128" s="3" t="s">
        <v>712</v>
      </c>
      <c r="E128" t="s">
        <v>481</v>
      </c>
      <c r="F128" t="s">
        <v>258</v>
      </c>
      <c r="G128" t="str">
        <f>VLOOKUP(F128,รายชื่อลูกบ้าน!$A:$B,2,FALSE)</f>
        <v>คุณณัฏฐชัย ปรีดีสนิท</v>
      </c>
      <c r="H128" t="s">
        <v>384</v>
      </c>
      <c r="J128" s="20">
        <v>600</v>
      </c>
      <c r="K128" s="21"/>
    </row>
    <row r="129" spans="1:11">
      <c r="A129" s="2">
        <v>242165</v>
      </c>
      <c r="B129" s="7" t="s">
        <v>34</v>
      </c>
      <c r="C129" s="3" t="str">
        <f>VLOOKUP(B129,'Accounts chart'!$A:$B,2,FALSE)</f>
        <v>รายรับค่าส่วนกลาง</v>
      </c>
      <c r="D129" s="3" t="s">
        <v>712</v>
      </c>
      <c r="E129" t="s">
        <v>482</v>
      </c>
      <c r="F129" t="s">
        <v>99</v>
      </c>
      <c r="G129" t="str">
        <f>VLOOKUP(F129,รายชื่อลูกบ้าน!$A:$B,2,FALSE)</f>
        <v>คุณพิพัฒน์ บุญจันทร์</v>
      </c>
      <c r="H129" t="s">
        <v>383</v>
      </c>
      <c r="J129" s="20">
        <v>7000</v>
      </c>
      <c r="K129" s="21"/>
    </row>
    <row r="130" spans="1:11">
      <c r="A130" s="2">
        <v>242165</v>
      </c>
      <c r="B130" s="7" t="s">
        <v>34</v>
      </c>
      <c r="C130" s="3" t="str">
        <f>VLOOKUP(B130,'Accounts chart'!$A:$B,2,FALSE)</f>
        <v>รายรับค่าส่วนกลาง</v>
      </c>
      <c r="D130" s="3" t="s">
        <v>712</v>
      </c>
      <c r="E130" t="s">
        <v>483</v>
      </c>
      <c r="F130" t="s">
        <v>169</v>
      </c>
      <c r="G130" t="str">
        <f>VLOOKUP(F130,รายชื่อลูกบ้าน!$A:$B,2,FALSE)</f>
        <v>คุณสุธาสินี แซ่อุ้ย</v>
      </c>
      <c r="H130" t="s">
        <v>383</v>
      </c>
      <c r="J130" s="20">
        <v>7000</v>
      </c>
      <c r="K130" s="21"/>
    </row>
    <row r="131" spans="1:11">
      <c r="A131" s="2">
        <v>242165</v>
      </c>
      <c r="B131" s="7" t="s">
        <v>4</v>
      </c>
      <c r="C131" s="3" t="str">
        <f>VLOOKUP(B131,'Accounts chart'!$A:$B,2,FALSE)</f>
        <v>ลูกหนี้ค่าส่วนกลาง</v>
      </c>
      <c r="D131" s="3" t="s">
        <v>712</v>
      </c>
      <c r="E131" t="s">
        <v>484</v>
      </c>
      <c r="F131" t="s">
        <v>180</v>
      </c>
      <c r="G131" t="str">
        <f>VLOOKUP(F131,รายชื่อลูกบ้าน!$A:$B,2,FALSE)</f>
        <v>ว่าที่ร.ต.ศราวุธ ไตยสุวรรณ</v>
      </c>
      <c r="H131" t="s">
        <v>404</v>
      </c>
      <c r="J131" s="20">
        <v>1800</v>
      </c>
      <c r="K131" s="21"/>
    </row>
    <row r="132" spans="1:11">
      <c r="A132" s="2">
        <v>242165</v>
      </c>
      <c r="B132" s="7" t="s">
        <v>34</v>
      </c>
      <c r="C132" s="3" t="str">
        <f>VLOOKUP(B132,'Accounts chart'!$A:$B,2,FALSE)</f>
        <v>รายรับค่าส่วนกลาง</v>
      </c>
      <c r="D132" s="3" t="s">
        <v>712</v>
      </c>
      <c r="E132" t="s">
        <v>485</v>
      </c>
      <c r="F132" t="s">
        <v>269</v>
      </c>
      <c r="G132" t="str">
        <f>VLOOKUP(F132,รายชื่อลูกบ้าน!$A:$B,2,FALSE)</f>
        <v>คุณรัฐพงศ์ สาระสิทธิ์</v>
      </c>
      <c r="H132" t="s">
        <v>383</v>
      </c>
      <c r="J132" s="20">
        <v>7000</v>
      </c>
      <c r="K132" s="21"/>
    </row>
    <row r="133" spans="1:11">
      <c r="A133" s="2">
        <v>242165</v>
      </c>
      <c r="B133" s="7" t="s">
        <v>34</v>
      </c>
      <c r="C133" s="3" t="str">
        <f>VLOOKUP(B133,'Accounts chart'!$A:$B,2,FALSE)</f>
        <v>รายรับค่าส่วนกลาง</v>
      </c>
      <c r="D133" s="3" t="s">
        <v>712</v>
      </c>
      <c r="E133" t="s">
        <v>486</v>
      </c>
      <c r="F133" t="s">
        <v>146</v>
      </c>
      <c r="G133" t="str">
        <f>VLOOKUP(F133,รายชื่อลูกบ้าน!$A:$B,2,FALSE)</f>
        <v>คุณชลาลัย เสมอสุข</v>
      </c>
      <c r="H133" t="s">
        <v>383</v>
      </c>
      <c r="I133" s="20"/>
      <c r="J133" s="20">
        <v>7000</v>
      </c>
      <c r="K133" s="21"/>
    </row>
    <row r="134" spans="1:11">
      <c r="A134" s="2">
        <v>242165</v>
      </c>
      <c r="B134" s="7" t="s">
        <v>34</v>
      </c>
      <c r="C134" s="3" t="str">
        <f>VLOOKUP(B134,'Accounts chart'!$A:$B,2,FALSE)</f>
        <v>รายรับค่าส่วนกลาง</v>
      </c>
      <c r="D134" s="3" t="s">
        <v>712</v>
      </c>
      <c r="E134" t="s">
        <v>487</v>
      </c>
      <c r="F134" t="s">
        <v>354</v>
      </c>
      <c r="G134" t="str">
        <f>VLOOKUP(F134,รายชื่อลูกบ้าน!$A:$B,2,FALSE)</f>
        <v>คุณสุรัตน์ พันธุ์แย้มมาลี</v>
      </c>
      <c r="H134" t="s">
        <v>384</v>
      </c>
      <c r="I134" s="20"/>
      <c r="J134" s="20">
        <v>600</v>
      </c>
      <c r="K134" s="21"/>
    </row>
    <row r="135" spans="1:11">
      <c r="A135" s="2"/>
      <c r="C135" s="3"/>
      <c r="I135" s="20"/>
      <c r="J135" s="20"/>
      <c r="K135" s="21"/>
    </row>
    <row r="136" spans="1:11">
      <c r="A136" s="2">
        <v>242166</v>
      </c>
      <c r="B136" s="7" t="s">
        <v>42</v>
      </c>
      <c r="C136" s="3" t="str">
        <f>VLOOKUP(B136,'Accounts chart'!$A:$B,2,FALSE)</f>
        <v>ค่าอะไหล่ซ่อมบำรุงและค่าซ่อมแซมอื่นๆ</v>
      </c>
      <c r="D136" t="s">
        <v>910</v>
      </c>
      <c r="G136" t="s">
        <v>768</v>
      </c>
      <c r="H136" t="s">
        <v>767</v>
      </c>
      <c r="I136" s="20">
        <v>21000</v>
      </c>
      <c r="J136" s="20"/>
      <c r="K136" s="21"/>
    </row>
    <row r="137" spans="1:11">
      <c r="A137" s="2">
        <v>242166</v>
      </c>
      <c r="B137" s="7" t="s">
        <v>2</v>
      </c>
      <c r="C137" s="3" t="str">
        <f>VLOOKUP(B137,'Accounts chart'!$A:$B,2,FALSE)</f>
        <v>ธนาคารกสิกรไทย CA-040-1-57563-4</v>
      </c>
      <c r="D137" t="s">
        <v>910</v>
      </c>
      <c r="G137" t="s">
        <v>768</v>
      </c>
      <c r="H137" t="s">
        <v>767</v>
      </c>
      <c r="I137" s="20"/>
      <c r="J137" s="20">
        <v>21000</v>
      </c>
      <c r="K137" s="21"/>
    </row>
    <row r="138" spans="1:11">
      <c r="A138" s="2"/>
      <c r="C138" s="3"/>
      <c r="I138" s="20"/>
      <c r="J138" s="20"/>
      <c r="K138" s="21"/>
    </row>
    <row r="139" spans="1:11">
      <c r="A139" s="2">
        <v>242166</v>
      </c>
      <c r="B139" s="7" t="s">
        <v>3</v>
      </c>
      <c r="C139" s="3" t="str">
        <f>VLOOKUP(B139,'Accounts chart'!$A:$B,2,FALSE)</f>
        <v>ธนาคารกสิกรไทย SA-040-1-56500-0</v>
      </c>
      <c r="D139" t="s">
        <v>713</v>
      </c>
      <c r="E139" t="s">
        <v>488</v>
      </c>
      <c r="F139" t="s">
        <v>263</v>
      </c>
      <c r="G139" t="str">
        <f>VLOOKUP(F139,รายชื่อลูกบ้าน!$A:$B,2,FALSE)</f>
        <v>คุณธัญพร โชคศิริภาวรตาซเซ</v>
      </c>
      <c r="H139" t="s">
        <v>400</v>
      </c>
      <c r="I139" s="20">
        <v>600</v>
      </c>
      <c r="J139" s="20"/>
      <c r="K139" s="2"/>
    </row>
    <row r="140" spans="1:11">
      <c r="A140" s="2">
        <v>242166</v>
      </c>
      <c r="B140" s="7" t="s">
        <v>3</v>
      </c>
      <c r="C140" s="3" t="str">
        <f>VLOOKUP(B140,'Accounts chart'!$A:$B,2,FALSE)</f>
        <v>ธนาคารกสิกรไทย SA-040-1-56500-0</v>
      </c>
      <c r="D140" t="s">
        <v>713</v>
      </c>
      <c r="E140" t="s">
        <v>489</v>
      </c>
      <c r="F140" t="s">
        <v>207</v>
      </c>
      <c r="G140" t="str">
        <f>VLOOKUP(F140,รายชื่อลูกบ้าน!$A:$B,2,FALSE)</f>
        <v>คุณกิตติภูมิ กาญจนจิรวงศ์</v>
      </c>
      <c r="H140" t="s">
        <v>407</v>
      </c>
      <c r="I140" s="20">
        <v>600</v>
      </c>
      <c r="J140" s="20"/>
      <c r="K140" s="2"/>
    </row>
    <row r="141" spans="1:11">
      <c r="A141" s="2">
        <v>242166</v>
      </c>
      <c r="B141" s="7" t="s">
        <v>4</v>
      </c>
      <c r="C141" s="3" t="str">
        <f>VLOOKUP(B141,'Accounts chart'!$A:$B,2,FALSE)</f>
        <v>ลูกหนี้ค่าส่วนกลาง</v>
      </c>
      <c r="D141" t="s">
        <v>713</v>
      </c>
      <c r="E141" t="s">
        <v>488</v>
      </c>
      <c r="F141" t="s">
        <v>263</v>
      </c>
      <c r="G141" t="str">
        <f>VLOOKUP(F141,รายชื่อลูกบ้าน!$A:$B,2,FALSE)</f>
        <v>คุณธัญพร โชคศิริภาวรตาซเซ</v>
      </c>
      <c r="H141" t="s">
        <v>400</v>
      </c>
      <c r="J141" s="20">
        <v>600</v>
      </c>
      <c r="K141" s="2"/>
    </row>
    <row r="142" spans="1:11">
      <c r="A142" s="2">
        <v>242166</v>
      </c>
      <c r="B142" s="7" t="s">
        <v>4</v>
      </c>
      <c r="C142" s="3" t="str">
        <f>VLOOKUP(B142,'Accounts chart'!$A:$B,2,FALSE)</f>
        <v>ลูกหนี้ค่าส่วนกลาง</v>
      </c>
      <c r="D142" t="s">
        <v>713</v>
      </c>
      <c r="E142" t="s">
        <v>489</v>
      </c>
      <c r="F142" t="s">
        <v>207</v>
      </c>
      <c r="G142" t="str">
        <f>VLOOKUP(F142,รายชื่อลูกบ้าน!$A:$B,2,FALSE)</f>
        <v>คุณกิตติภูมิ กาญจนจิรวงศ์</v>
      </c>
      <c r="H142" t="s">
        <v>407</v>
      </c>
      <c r="J142" s="20">
        <v>600</v>
      </c>
      <c r="K142" s="2"/>
    </row>
    <row r="143" spans="1:11">
      <c r="A143" s="2"/>
      <c r="C143" s="3"/>
      <c r="J143" s="20"/>
      <c r="K143" s="2"/>
    </row>
    <row r="144" spans="1:11">
      <c r="A144" s="2">
        <v>242167</v>
      </c>
      <c r="B144" s="7" t="s">
        <v>18</v>
      </c>
      <c r="C144" s="3" t="str">
        <f>VLOOKUP(B144,'Accounts chart'!$A:$B,2,FALSE)</f>
        <v>ค่ารักษาความปลอดภัยค้างจ่าย</v>
      </c>
      <c r="D144" t="s">
        <v>911</v>
      </c>
      <c r="G144" t="s">
        <v>769</v>
      </c>
      <c r="H144" t="s">
        <v>770</v>
      </c>
      <c r="I144" s="20">
        <v>38233.18</v>
      </c>
      <c r="J144" s="20"/>
      <c r="K144" s="2"/>
    </row>
    <row r="145" spans="1:11">
      <c r="A145" s="2">
        <v>242167</v>
      </c>
      <c r="B145" s="7" t="s">
        <v>2</v>
      </c>
      <c r="C145" s="3" t="str">
        <f>VLOOKUP(B145,'Accounts chart'!$A:$B,2,FALSE)</f>
        <v>ธนาคารกสิกรไทย CA-040-1-57563-4</v>
      </c>
      <c r="D145" t="s">
        <v>911</v>
      </c>
      <c r="G145" t="s">
        <v>769</v>
      </c>
      <c r="H145" t="s">
        <v>770</v>
      </c>
      <c r="I145" s="20"/>
      <c r="J145" s="20">
        <v>38233.18</v>
      </c>
      <c r="K145" s="2"/>
    </row>
    <row r="146" spans="1:11">
      <c r="A146" s="2"/>
      <c r="C146" s="3"/>
      <c r="I146" s="20"/>
      <c r="J146" s="20"/>
      <c r="K146" s="2"/>
    </row>
    <row r="147" spans="1:11">
      <c r="A147" s="2">
        <v>242167</v>
      </c>
      <c r="B147" s="7" t="s">
        <v>22</v>
      </c>
      <c r="C147" s="3" t="str">
        <f>VLOOKUP(B147,'Accounts chart'!$A:$B,2,FALSE)</f>
        <v>ค่าดูแลส่วนกลางค้างจ่าย</v>
      </c>
      <c r="D147" t="s">
        <v>912</v>
      </c>
      <c r="G147" t="s">
        <v>771</v>
      </c>
      <c r="H147" t="s">
        <v>772</v>
      </c>
      <c r="I147" s="20">
        <v>15000</v>
      </c>
      <c r="J147" s="20"/>
      <c r="K147" s="2"/>
    </row>
    <row r="148" spans="1:11">
      <c r="A148" s="2">
        <v>242167</v>
      </c>
      <c r="B148" s="7" t="s">
        <v>2</v>
      </c>
      <c r="C148" s="3" t="str">
        <f>VLOOKUP(B148,'Accounts chart'!$A:$B,2,FALSE)</f>
        <v>ธนาคารกสิกรไทย CA-040-1-57563-4</v>
      </c>
      <c r="D148" t="s">
        <v>912</v>
      </c>
      <c r="G148" t="s">
        <v>771</v>
      </c>
      <c r="H148" t="s">
        <v>772</v>
      </c>
      <c r="I148" s="20"/>
      <c r="J148" s="20">
        <v>15000</v>
      </c>
      <c r="K148" s="2"/>
    </row>
    <row r="149" spans="1:11">
      <c r="A149" s="2"/>
      <c r="C149" s="3"/>
      <c r="I149" s="20"/>
      <c r="J149" s="20"/>
      <c r="K149" s="2"/>
    </row>
    <row r="150" spans="1:11">
      <c r="A150" s="2">
        <v>242167</v>
      </c>
      <c r="B150" s="7" t="s">
        <v>14</v>
      </c>
      <c r="C150" s="3" t="str">
        <f>VLOOKUP(B150,'Accounts chart'!$A:$B,2,FALSE)</f>
        <v>ค่าเก็บขยะค้างจ่าย</v>
      </c>
      <c r="D150" t="s">
        <v>913</v>
      </c>
      <c r="G150" t="s">
        <v>773</v>
      </c>
      <c r="H150" t="s">
        <v>774</v>
      </c>
      <c r="I150" s="20">
        <v>3000</v>
      </c>
      <c r="J150" s="20"/>
      <c r="K150" s="2"/>
    </row>
    <row r="151" spans="1:11">
      <c r="A151" s="2">
        <v>242167</v>
      </c>
      <c r="B151" s="7" t="s">
        <v>2</v>
      </c>
      <c r="C151" s="3" t="str">
        <f>VLOOKUP(B151,'Accounts chart'!$A:$B,2,FALSE)</f>
        <v>ธนาคารกสิกรไทย CA-040-1-57563-4</v>
      </c>
      <c r="D151" t="s">
        <v>913</v>
      </c>
      <c r="G151" t="s">
        <v>773</v>
      </c>
      <c r="H151" t="s">
        <v>774</v>
      </c>
      <c r="I151" s="20"/>
      <c r="J151" s="20">
        <v>3000</v>
      </c>
      <c r="K151" s="2"/>
    </row>
    <row r="152" spans="1:11">
      <c r="A152" s="2"/>
      <c r="C152" s="3"/>
      <c r="I152" s="20"/>
      <c r="J152" s="20"/>
      <c r="K152" s="2"/>
    </row>
    <row r="153" spans="1:11">
      <c r="A153" s="2">
        <v>242167</v>
      </c>
      <c r="B153" s="7" t="s">
        <v>16</v>
      </c>
      <c r="C153" s="3" t="str">
        <f>VLOOKUP(B153,'Accounts chart'!$A:$B,2,FALSE)</f>
        <v>ค่าบริการดูแลสระว่ายน้ำค้างจ่าย</v>
      </c>
      <c r="D153" t="s">
        <v>914</v>
      </c>
      <c r="G153" t="s">
        <v>775</v>
      </c>
      <c r="H153" t="s">
        <v>776</v>
      </c>
      <c r="I153" s="20">
        <v>7500</v>
      </c>
      <c r="J153" s="20"/>
      <c r="K153" s="2"/>
    </row>
    <row r="154" spans="1:11">
      <c r="A154" s="2">
        <v>242167</v>
      </c>
      <c r="B154" s="7" t="s">
        <v>2</v>
      </c>
      <c r="C154" s="3" t="str">
        <f>VLOOKUP(B154,'Accounts chart'!$A:$B,2,FALSE)</f>
        <v>ธนาคารกสิกรไทย CA-040-1-57563-4</v>
      </c>
      <c r="D154" t="s">
        <v>914</v>
      </c>
      <c r="G154" t="s">
        <v>775</v>
      </c>
      <c r="H154" t="s">
        <v>776</v>
      </c>
      <c r="I154" s="20"/>
      <c r="J154" s="20">
        <v>7500</v>
      </c>
      <c r="K154" s="2"/>
    </row>
    <row r="155" spans="1:11">
      <c r="A155" s="2"/>
      <c r="C155" s="3"/>
      <c r="I155" s="20"/>
      <c r="J155" s="20"/>
      <c r="K155" s="2"/>
    </row>
    <row r="156" spans="1:11">
      <c r="A156" s="2">
        <v>242173</v>
      </c>
      <c r="B156" s="7" t="s">
        <v>20</v>
      </c>
      <c r="C156" s="3" t="str">
        <f>VLOOKUP(B156,'Accounts chart'!$A:$B,2,FALSE)</f>
        <v>ค่าไฟฟ้าค้างจ่าย</v>
      </c>
      <c r="D156" t="s">
        <v>915</v>
      </c>
      <c r="G156" t="s">
        <v>777</v>
      </c>
      <c r="H156" t="s">
        <v>778</v>
      </c>
      <c r="I156" s="20">
        <v>3476.06</v>
      </c>
      <c r="J156" s="20"/>
      <c r="K156" s="2"/>
    </row>
    <row r="157" spans="1:11">
      <c r="A157" s="2">
        <v>242173</v>
      </c>
      <c r="B157" s="7" t="s">
        <v>2</v>
      </c>
      <c r="C157" s="3" t="str">
        <f>VLOOKUP(B157,'Accounts chart'!$A:$B,2,FALSE)</f>
        <v>ธนาคารกสิกรไทย CA-040-1-57563-4</v>
      </c>
      <c r="D157" t="s">
        <v>915</v>
      </c>
      <c r="G157" t="s">
        <v>777</v>
      </c>
      <c r="H157" t="s">
        <v>778</v>
      </c>
      <c r="I157" s="20"/>
      <c r="J157" s="20">
        <v>3476.06</v>
      </c>
      <c r="K157" s="2"/>
    </row>
    <row r="158" spans="1:11">
      <c r="A158" s="2"/>
      <c r="C158" s="3"/>
      <c r="I158" s="20"/>
      <c r="J158" s="20"/>
      <c r="K158" s="2"/>
    </row>
    <row r="159" spans="1:11">
      <c r="A159" s="2">
        <v>242175</v>
      </c>
      <c r="B159" s="7" t="s">
        <v>42</v>
      </c>
      <c r="C159" s="3" t="str">
        <f>VLOOKUP(B159,'Accounts chart'!$A:$B,2,FALSE)</f>
        <v>ค่าอะไหล่ซ่อมบำรุงและค่าซ่อมแซมอื่นๆ</v>
      </c>
      <c r="D159" t="s">
        <v>916</v>
      </c>
      <c r="G159" t="s">
        <v>779</v>
      </c>
      <c r="H159" t="s">
        <v>780</v>
      </c>
      <c r="I159" s="20">
        <v>46352.4</v>
      </c>
      <c r="J159" s="20"/>
      <c r="K159" s="2"/>
    </row>
    <row r="160" spans="1:11">
      <c r="A160" s="2">
        <v>242175</v>
      </c>
      <c r="B160" s="7" t="s">
        <v>2</v>
      </c>
      <c r="C160" s="3" t="str">
        <f>VLOOKUP(B160,'Accounts chart'!$A:$B,2,FALSE)</f>
        <v>ธนาคารกสิกรไทย CA-040-1-57563-4</v>
      </c>
      <c r="D160" t="s">
        <v>916</v>
      </c>
      <c r="G160" t="s">
        <v>779</v>
      </c>
      <c r="H160" t="s">
        <v>780</v>
      </c>
      <c r="I160" s="20"/>
      <c r="J160" s="20">
        <v>46352.4</v>
      </c>
      <c r="K160" s="2"/>
    </row>
    <row r="161" spans="1:11">
      <c r="A161" s="2"/>
      <c r="C161" s="3"/>
      <c r="I161" s="20"/>
      <c r="J161" s="20"/>
      <c r="K161" s="2"/>
    </row>
    <row r="162" spans="1:11">
      <c r="A162" s="2">
        <v>242175</v>
      </c>
      <c r="B162" s="7" t="s">
        <v>16</v>
      </c>
      <c r="C162" s="3" t="str">
        <f>VLOOKUP(B162,'Accounts chart'!$A:$B,2,FALSE)</f>
        <v>ค่าบริการดูแลสระว่ายน้ำค้างจ่าย</v>
      </c>
      <c r="D162" t="s">
        <v>917</v>
      </c>
      <c r="G162" t="s">
        <v>775</v>
      </c>
      <c r="H162" t="s">
        <v>781</v>
      </c>
      <c r="I162" s="20">
        <v>1000</v>
      </c>
      <c r="J162" s="20"/>
      <c r="K162" s="2"/>
    </row>
    <row r="163" spans="1:11">
      <c r="A163" s="2">
        <v>242175</v>
      </c>
      <c r="B163" s="7" t="s">
        <v>2</v>
      </c>
      <c r="C163" s="3" t="str">
        <f>VLOOKUP(B163,'Accounts chart'!$A:$B,2,FALSE)</f>
        <v>ธนาคารกสิกรไทย CA-040-1-57563-4</v>
      </c>
      <c r="D163" t="s">
        <v>917</v>
      </c>
      <c r="G163" t="s">
        <v>775</v>
      </c>
      <c r="H163" t="s">
        <v>781</v>
      </c>
      <c r="I163" s="20"/>
      <c r="J163" s="20">
        <v>1000</v>
      </c>
      <c r="K163" s="2"/>
    </row>
    <row r="164" spans="1:11">
      <c r="A164" s="2"/>
      <c r="C164" s="3"/>
      <c r="I164" s="20"/>
      <c r="J164" s="20"/>
      <c r="K164" s="2"/>
    </row>
    <row r="165" spans="1:11">
      <c r="A165" s="2">
        <v>242168</v>
      </c>
      <c r="B165" s="7" t="s">
        <v>3</v>
      </c>
      <c r="C165" s="3" t="str">
        <f>VLOOKUP(B165,'Accounts chart'!$A:$B,2,FALSE)</f>
        <v>ธนาคารกสิกรไทย SA-040-1-56500-0</v>
      </c>
      <c r="D165" t="s">
        <v>714</v>
      </c>
      <c r="E165" t="s">
        <v>490</v>
      </c>
      <c r="F165" t="s">
        <v>367</v>
      </c>
      <c r="G165" t="str">
        <f>VLOOKUP(F165,รายชื่อลูกบ้าน!$A:$B,2,FALSE)</f>
        <v>คุณเพ็ญศรี ศรีละ</v>
      </c>
      <c r="H165" t="s">
        <v>404</v>
      </c>
      <c r="I165" s="20">
        <v>1800</v>
      </c>
      <c r="J165" s="20"/>
      <c r="K165" s="2"/>
    </row>
    <row r="166" spans="1:11">
      <c r="A166" s="2">
        <v>242168</v>
      </c>
      <c r="B166" s="7" t="s">
        <v>4</v>
      </c>
      <c r="C166" s="3" t="str">
        <f>VLOOKUP(B166,'Accounts chart'!$A:$B,2,FALSE)</f>
        <v>ลูกหนี้ค่าส่วนกลาง</v>
      </c>
      <c r="D166" t="s">
        <v>714</v>
      </c>
      <c r="E166" t="s">
        <v>490</v>
      </c>
      <c r="F166" t="s">
        <v>367</v>
      </c>
      <c r="G166" t="str">
        <f>VLOOKUP(F166,รายชื่อลูกบ้าน!$A:$B,2,FALSE)</f>
        <v>คุณเพ็ญศรี ศรีละ</v>
      </c>
      <c r="H166" t="s">
        <v>404</v>
      </c>
      <c r="J166" s="20">
        <v>1800</v>
      </c>
      <c r="K166" s="2"/>
    </row>
    <row r="167" spans="1:11">
      <c r="A167" s="2"/>
      <c r="C167" s="3"/>
      <c r="J167" s="20"/>
      <c r="K167" s="2"/>
    </row>
    <row r="168" spans="1:11">
      <c r="A168" s="2">
        <v>242171</v>
      </c>
      <c r="B168" s="7" t="s">
        <v>3</v>
      </c>
      <c r="C168" s="3" t="str">
        <f>VLOOKUP(B168,'Accounts chart'!$A:$B,2,FALSE)</f>
        <v>ธนาคารกสิกรไทย SA-040-1-56500-0</v>
      </c>
      <c r="D168" t="s">
        <v>715</v>
      </c>
      <c r="E168" t="s">
        <v>491</v>
      </c>
      <c r="F168" t="s">
        <v>364</v>
      </c>
      <c r="G168" t="str">
        <f>VLOOKUP(F168,รายชื่อลูกบ้าน!$A:$B,2,FALSE)</f>
        <v>คุณกิตติ แสวงภาค</v>
      </c>
      <c r="H168" t="s">
        <v>384</v>
      </c>
      <c r="I168" s="20">
        <v>600</v>
      </c>
      <c r="J168" s="20"/>
      <c r="K168" s="2"/>
    </row>
    <row r="169" spans="1:11">
      <c r="A169" s="2">
        <v>242171</v>
      </c>
      <c r="B169" s="7" t="s">
        <v>34</v>
      </c>
      <c r="C169" s="3" t="str">
        <f>VLOOKUP(B169,'Accounts chart'!$A:$B,2,FALSE)</f>
        <v>รายรับค่าส่วนกลาง</v>
      </c>
      <c r="D169" t="s">
        <v>715</v>
      </c>
      <c r="E169" t="s">
        <v>491</v>
      </c>
      <c r="F169" t="s">
        <v>364</v>
      </c>
      <c r="G169" t="str">
        <f>VLOOKUP(F169,รายชื่อลูกบ้าน!$A:$B,2,FALSE)</f>
        <v>คุณกิตติ แสวงภาค</v>
      </c>
      <c r="H169" t="s">
        <v>384</v>
      </c>
      <c r="J169" s="20">
        <v>600</v>
      </c>
      <c r="K169" s="2"/>
    </row>
    <row r="170" spans="1:11">
      <c r="A170" s="2"/>
      <c r="C170" s="3"/>
      <c r="I170" s="20"/>
      <c r="J170" s="20"/>
      <c r="K170" s="2"/>
    </row>
    <row r="171" spans="1:11">
      <c r="A171" s="2">
        <v>242174</v>
      </c>
      <c r="B171" s="7" t="s">
        <v>3</v>
      </c>
      <c r="C171" s="3" t="str">
        <f>VLOOKUP(B171,'Accounts chart'!$A:$B,2,FALSE)</f>
        <v>ธนาคารกสิกรไทย SA-040-1-56500-0</v>
      </c>
      <c r="D171" t="s">
        <v>716</v>
      </c>
      <c r="E171" t="s">
        <v>492</v>
      </c>
      <c r="F171" t="s">
        <v>71</v>
      </c>
      <c r="G171" t="str">
        <f>VLOOKUP(F171,รายชื่อลูกบ้าน!$A:$B,2,FALSE)</f>
        <v>คุณธิติพงศ์  เลิศรัตน์วัฒนา</v>
      </c>
      <c r="H171" t="s">
        <v>400</v>
      </c>
      <c r="I171" s="20">
        <v>600</v>
      </c>
      <c r="J171" s="20"/>
      <c r="K171" s="2"/>
    </row>
    <row r="172" spans="1:11">
      <c r="A172" s="2">
        <v>242174</v>
      </c>
      <c r="B172" s="7" t="s">
        <v>3</v>
      </c>
      <c r="C172" s="3" t="str">
        <f>VLOOKUP(B172,'Accounts chart'!$A:$B,2,FALSE)</f>
        <v>ธนาคารกสิกรไทย SA-040-1-56500-0</v>
      </c>
      <c r="D172" t="s">
        <v>716</v>
      </c>
      <c r="E172" t="s">
        <v>493</v>
      </c>
      <c r="F172" t="s">
        <v>71</v>
      </c>
      <c r="G172" t="str">
        <f>VLOOKUP(F172,รายชื่อลูกบ้าน!$A:$B,2,FALSE)</f>
        <v>คุณธิติพงศ์  เลิศรัตน์วัฒนา</v>
      </c>
      <c r="H172" t="s">
        <v>383</v>
      </c>
      <c r="I172" s="20">
        <v>7000</v>
      </c>
      <c r="J172" s="20"/>
      <c r="K172" s="2"/>
    </row>
    <row r="173" spans="1:11">
      <c r="A173" s="2">
        <v>242174</v>
      </c>
      <c r="B173" s="7" t="s">
        <v>3</v>
      </c>
      <c r="C173" s="3" t="str">
        <f>VLOOKUP(B173,'Accounts chart'!$A:$B,2,FALSE)</f>
        <v>ธนาคารกสิกรไทย SA-040-1-56500-0</v>
      </c>
      <c r="D173" t="s">
        <v>716</v>
      </c>
      <c r="E173" t="s">
        <v>494</v>
      </c>
      <c r="F173" t="s">
        <v>239</v>
      </c>
      <c r="G173" t="str">
        <f>VLOOKUP(F173,รายชื่อลูกบ้าน!$A:$B,2,FALSE)</f>
        <v>คุณเรืองชัย ศรีเมือง</v>
      </c>
      <c r="H173" t="s">
        <v>383</v>
      </c>
      <c r="I173" s="20">
        <v>7000</v>
      </c>
      <c r="J173" s="20"/>
      <c r="K173" s="2"/>
    </row>
    <row r="174" spans="1:11">
      <c r="A174" s="2">
        <v>242174</v>
      </c>
      <c r="B174" s="7" t="s">
        <v>3</v>
      </c>
      <c r="C174" s="3" t="str">
        <f>VLOOKUP(B174,'Accounts chart'!$A:$B,2,FALSE)</f>
        <v>ธนาคารกสิกรไทย SA-040-1-56500-0</v>
      </c>
      <c r="D174" t="s">
        <v>716</v>
      </c>
      <c r="E174" t="s">
        <v>495</v>
      </c>
      <c r="F174" t="s">
        <v>317</v>
      </c>
      <c r="G174" t="str">
        <f>VLOOKUP(F174,รายชื่อลูกบ้าน!$A:$B,2,FALSE)</f>
        <v>คุณจิระศักดิ์ จันทร์โท</v>
      </c>
      <c r="H174" t="s">
        <v>384</v>
      </c>
      <c r="I174" s="20">
        <v>600</v>
      </c>
      <c r="J174" s="20"/>
      <c r="K174" s="2"/>
    </row>
    <row r="175" spans="1:11">
      <c r="A175" s="2">
        <v>242174</v>
      </c>
      <c r="B175" s="7" t="s">
        <v>4</v>
      </c>
      <c r="C175" s="3" t="str">
        <f>VLOOKUP(B175,'Accounts chart'!$A:$B,2,FALSE)</f>
        <v>ลูกหนี้ค่าส่วนกลาง</v>
      </c>
      <c r="D175" t="s">
        <v>716</v>
      </c>
      <c r="E175" t="s">
        <v>492</v>
      </c>
      <c r="F175" t="s">
        <v>71</v>
      </c>
      <c r="G175" t="str">
        <f>VLOOKUP(F175,รายชื่อลูกบ้าน!$A:$B,2,FALSE)</f>
        <v>คุณธิติพงศ์  เลิศรัตน์วัฒนา</v>
      </c>
      <c r="H175" t="s">
        <v>400</v>
      </c>
      <c r="J175" s="20">
        <v>600</v>
      </c>
      <c r="K175" s="2"/>
    </row>
    <row r="176" spans="1:11">
      <c r="A176" s="2">
        <v>242174</v>
      </c>
      <c r="B176" s="7" t="s">
        <v>34</v>
      </c>
      <c r="C176" s="3" t="str">
        <f>VLOOKUP(B176,'Accounts chart'!$A:$B,2,FALSE)</f>
        <v>รายรับค่าส่วนกลาง</v>
      </c>
      <c r="D176" t="s">
        <v>716</v>
      </c>
      <c r="E176" t="s">
        <v>493</v>
      </c>
      <c r="F176" t="s">
        <v>71</v>
      </c>
      <c r="G176" t="str">
        <f>VLOOKUP(F176,รายชื่อลูกบ้าน!$A:$B,2,FALSE)</f>
        <v>คุณธิติพงศ์  เลิศรัตน์วัฒนา</v>
      </c>
      <c r="H176" t="s">
        <v>383</v>
      </c>
      <c r="J176" s="20">
        <v>7000</v>
      </c>
      <c r="K176" s="2"/>
    </row>
    <row r="177" spans="1:11">
      <c r="A177" s="2">
        <v>242174</v>
      </c>
      <c r="B177" s="7" t="s">
        <v>34</v>
      </c>
      <c r="C177" s="3" t="str">
        <f>VLOOKUP(B177,'Accounts chart'!$A:$B,2,FALSE)</f>
        <v>รายรับค่าส่วนกลาง</v>
      </c>
      <c r="D177" t="s">
        <v>716</v>
      </c>
      <c r="E177" t="s">
        <v>494</v>
      </c>
      <c r="F177" t="s">
        <v>239</v>
      </c>
      <c r="G177" t="str">
        <f>VLOOKUP(F177,รายชื่อลูกบ้าน!$A:$B,2,FALSE)</f>
        <v>คุณเรืองชัย ศรีเมือง</v>
      </c>
      <c r="H177" t="s">
        <v>383</v>
      </c>
      <c r="J177" s="20">
        <v>7000</v>
      </c>
      <c r="K177" s="2"/>
    </row>
    <row r="178" spans="1:11">
      <c r="A178" s="2">
        <v>242174</v>
      </c>
      <c r="B178" s="7" t="s">
        <v>34</v>
      </c>
      <c r="C178" s="3" t="str">
        <f>VLOOKUP(B178,'Accounts chart'!$A:$B,2,FALSE)</f>
        <v>รายรับค่าส่วนกลาง</v>
      </c>
      <c r="D178" t="s">
        <v>716</v>
      </c>
      <c r="E178" t="s">
        <v>495</v>
      </c>
      <c r="F178" t="s">
        <v>317</v>
      </c>
      <c r="G178" t="str">
        <f>VLOOKUP(F178,รายชื่อลูกบ้าน!$A:$B,2,FALSE)</f>
        <v>คุณจิระศักดิ์ จันทร์โท</v>
      </c>
      <c r="H178" t="s">
        <v>384</v>
      </c>
      <c r="J178" s="20">
        <v>600</v>
      </c>
      <c r="K178" s="2"/>
    </row>
    <row r="179" spans="1:11">
      <c r="A179" s="2"/>
      <c r="C179" s="3"/>
      <c r="I179" s="20"/>
      <c r="J179" s="20"/>
      <c r="K179" s="2"/>
    </row>
    <row r="180" spans="1:11">
      <c r="A180" s="2">
        <v>242175</v>
      </c>
      <c r="B180" s="7" t="s">
        <v>3</v>
      </c>
      <c r="C180" s="3" t="str">
        <f>VLOOKUP(B180,'Accounts chart'!$A:$B,2,FALSE)</f>
        <v>ธนาคารกสิกรไทย SA-040-1-56500-0</v>
      </c>
      <c r="D180" t="s">
        <v>717</v>
      </c>
      <c r="E180" t="s">
        <v>496</v>
      </c>
      <c r="F180" t="s">
        <v>236</v>
      </c>
      <c r="G180" t="str">
        <f>VLOOKUP(F180,รายชื่อลูกบ้าน!$A:$B,2,FALSE)</f>
        <v>คุณพงษ์พิชญ์-คุณชลธิดา บุญศิริ</v>
      </c>
      <c r="H180" t="s">
        <v>384</v>
      </c>
      <c r="I180" s="20">
        <v>600</v>
      </c>
      <c r="J180" s="20"/>
      <c r="K180" s="2"/>
    </row>
    <row r="181" spans="1:11">
      <c r="A181" s="2">
        <v>242175</v>
      </c>
      <c r="B181" s="7" t="s">
        <v>3</v>
      </c>
      <c r="C181" s="3" t="str">
        <f>VLOOKUP(B181,'Accounts chart'!$A:$B,2,FALSE)</f>
        <v>ธนาคารกสิกรไทย SA-040-1-56500-0</v>
      </c>
      <c r="D181" t="s">
        <v>717</v>
      </c>
      <c r="E181" t="s">
        <v>497</v>
      </c>
      <c r="F181" t="s">
        <v>304</v>
      </c>
      <c r="G181" t="str">
        <f>VLOOKUP(F181,รายชื่อลูกบ้าน!$A:$B,2,FALSE)</f>
        <v>คุณกฤษณะ ฤทธิ์โพธิ์</v>
      </c>
      <c r="H181" t="s">
        <v>400</v>
      </c>
      <c r="I181" s="20">
        <v>600</v>
      </c>
      <c r="J181" s="20"/>
      <c r="K181" s="2"/>
    </row>
    <row r="182" spans="1:11">
      <c r="A182" s="2">
        <v>242175</v>
      </c>
      <c r="B182" s="7" t="s">
        <v>3</v>
      </c>
      <c r="C182" s="3" t="str">
        <f>VLOOKUP(B182,'Accounts chart'!$A:$B,2,FALSE)</f>
        <v>ธนาคารกสิกรไทย SA-040-1-56500-0</v>
      </c>
      <c r="D182" t="s">
        <v>717</v>
      </c>
      <c r="E182" t="s">
        <v>498</v>
      </c>
      <c r="F182" t="s">
        <v>304</v>
      </c>
      <c r="G182" t="str">
        <f>VLOOKUP(F182,รายชื่อลูกบ้าน!$A:$B,2,FALSE)</f>
        <v>คุณกฤษณะ ฤทธิ์โพธิ์</v>
      </c>
      <c r="H182" t="s">
        <v>384</v>
      </c>
      <c r="I182" s="20">
        <v>600</v>
      </c>
      <c r="J182" s="20"/>
      <c r="K182" s="2"/>
    </row>
    <row r="183" spans="1:11">
      <c r="A183" s="2">
        <v>242175</v>
      </c>
      <c r="B183" s="7" t="s">
        <v>3</v>
      </c>
      <c r="C183" s="3" t="str">
        <f>VLOOKUP(B183,'Accounts chart'!$A:$B,2,FALSE)</f>
        <v>ธนาคารกสิกรไทย SA-040-1-56500-0</v>
      </c>
      <c r="D183" t="s">
        <v>717</v>
      </c>
      <c r="E183" t="s">
        <v>499</v>
      </c>
      <c r="F183" t="s">
        <v>236</v>
      </c>
      <c r="G183" t="str">
        <f>VLOOKUP(F183,รายชื่อลูกบ้าน!$A:$B,2,FALSE)</f>
        <v>คุณพงษ์พิชญ์-คุณชลธิดา บุญศิริ</v>
      </c>
      <c r="H183" t="s">
        <v>408</v>
      </c>
      <c r="I183" s="20">
        <v>1800</v>
      </c>
      <c r="J183" s="20"/>
      <c r="K183" s="2"/>
    </row>
    <row r="184" spans="1:11">
      <c r="A184" s="2">
        <v>242175</v>
      </c>
      <c r="B184" s="7" t="s">
        <v>34</v>
      </c>
      <c r="C184" s="3" t="str">
        <f>VLOOKUP(B184,'Accounts chart'!$A:$B,2,FALSE)</f>
        <v>รายรับค่าส่วนกลาง</v>
      </c>
      <c r="D184" t="s">
        <v>717</v>
      </c>
      <c r="E184" t="s">
        <v>496</v>
      </c>
      <c r="F184" t="s">
        <v>236</v>
      </c>
      <c r="G184" t="str">
        <f>VLOOKUP(F184,รายชื่อลูกบ้าน!$A:$B,2,FALSE)</f>
        <v>คุณพงษ์พิชญ์-คุณชลธิดา บุญศิริ</v>
      </c>
      <c r="H184" t="s">
        <v>384</v>
      </c>
      <c r="J184" s="20">
        <v>600</v>
      </c>
      <c r="K184" s="2"/>
    </row>
    <row r="185" spans="1:11">
      <c r="A185" s="2">
        <v>242175</v>
      </c>
      <c r="B185" s="7" t="s">
        <v>4</v>
      </c>
      <c r="C185" s="3" t="str">
        <f>VLOOKUP(B185,'Accounts chart'!$A:$B,2,FALSE)</f>
        <v>ลูกหนี้ค่าส่วนกลาง</v>
      </c>
      <c r="D185" t="s">
        <v>717</v>
      </c>
      <c r="E185" t="s">
        <v>497</v>
      </c>
      <c r="F185" t="s">
        <v>304</v>
      </c>
      <c r="G185" t="str">
        <f>VLOOKUP(F185,รายชื่อลูกบ้าน!$A:$B,2,FALSE)</f>
        <v>คุณกฤษณะ ฤทธิ์โพธิ์</v>
      </c>
      <c r="H185" t="s">
        <v>400</v>
      </c>
      <c r="J185" s="20">
        <v>600</v>
      </c>
      <c r="K185" s="2"/>
    </row>
    <row r="186" spans="1:11">
      <c r="A186" s="2">
        <v>242175</v>
      </c>
      <c r="B186" s="7" t="s">
        <v>34</v>
      </c>
      <c r="C186" s="3" t="str">
        <f>VLOOKUP(B186,'Accounts chart'!$A:$B,2,FALSE)</f>
        <v>รายรับค่าส่วนกลาง</v>
      </c>
      <c r="D186" t="s">
        <v>717</v>
      </c>
      <c r="E186" t="s">
        <v>498</v>
      </c>
      <c r="F186" t="s">
        <v>304</v>
      </c>
      <c r="G186" t="str">
        <f>VLOOKUP(F186,รายชื่อลูกบ้าน!$A:$B,2,FALSE)</f>
        <v>คุณกฤษณะ ฤทธิ์โพธิ์</v>
      </c>
      <c r="H186" t="s">
        <v>384</v>
      </c>
      <c r="J186" s="20">
        <v>600</v>
      </c>
      <c r="K186" s="2"/>
    </row>
    <row r="187" spans="1:11">
      <c r="A187" s="2">
        <v>242175</v>
      </c>
      <c r="B187" s="7" t="s">
        <v>4</v>
      </c>
      <c r="C187" s="3" t="str">
        <f>VLOOKUP(B187,'Accounts chart'!$A:$B,2,FALSE)</f>
        <v>ลูกหนี้ค่าส่วนกลาง</v>
      </c>
      <c r="D187" t="s">
        <v>717</v>
      </c>
      <c r="E187" t="s">
        <v>499</v>
      </c>
      <c r="F187" t="s">
        <v>236</v>
      </c>
      <c r="G187" t="str">
        <f>VLOOKUP(F187,รายชื่อลูกบ้าน!$A:$B,2,FALSE)</f>
        <v>คุณพงษ์พิชญ์-คุณชลธิดา บุญศิริ</v>
      </c>
      <c r="H187" t="s">
        <v>408</v>
      </c>
      <c r="J187" s="20">
        <v>1800</v>
      </c>
      <c r="K187" s="2"/>
    </row>
    <row r="188" spans="1:11">
      <c r="A188" s="2"/>
      <c r="C188" s="3"/>
      <c r="I188" s="20"/>
      <c r="J188" s="20"/>
      <c r="K188" s="2"/>
    </row>
    <row r="189" spans="1:11">
      <c r="A189" s="2">
        <v>242181</v>
      </c>
      <c r="B189" s="7" t="s">
        <v>3</v>
      </c>
      <c r="C189" s="3" t="str">
        <f>VLOOKUP(B189,'Accounts chart'!$A:$B,2,FALSE)</f>
        <v>ธนาคารกสิกรไทย SA-040-1-56500-0</v>
      </c>
      <c r="D189" t="s">
        <v>718</v>
      </c>
      <c r="E189" t="s">
        <v>500</v>
      </c>
      <c r="F189" t="s">
        <v>362</v>
      </c>
      <c r="G189" t="str">
        <f>VLOOKUP(F189,รายชื่อลูกบ้าน!$A:$B,2,FALSE)</f>
        <v>คุณพีรภัทร์ ศัสตราพฤกษ์</v>
      </c>
      <c r="H189" t="s">
        <v>384</v>
      </c>
      <c r="I189" s="20">
        <v>600</v>
      </c>
      <c r="J189" s="20"/>
      <c r="K189" s="2"/>
    </row>
    <row r="190" spans="1:11">
      <c r="A190" s="2">
        <v>242181</v>
      </c>
      <c r="B190" s="7" t="s">
        <v>3</v>
      </c>
      <c r="C190" s="3" t="str">
        <f>VLOOKUP(B190,'Accounts chart'!$A:$B,2,FALSE)</f>
        <v>ธนาคารกสิกรไทย SA-040-1-56500-0</v>
      </c>
      <c r="D190" t="s">
        <v>718</v>
      </c>
      <c r="E190" t="s">
        <v>501</v>
      </c>
      <c r="F190" t="s">
        <v>251</v>
      </c>
      <c r="G190" t="str">
        <f>VLOOKUP(F190,รายชื่อลูกบ้าน!$A:$B,2,FALSE)</f>
        <v>คุณวิบูลย์ ฤทธิ์ทองพิทักษ์</v>
      </c>
      <c r="H190" t="s">
        <v>384</v>
      </c>
      <c r="I190" s="20">
        <v>600</v>
      </c>
      <c r="J190" s="20"/>
      <c r="K190" s="2"/>
    </row>
    <row r="191" spans="1:11">
      <c r="A191" s="2">
        <v>242181</v>
      </c>
      <c r="B191" s="7" t="s">
        <v>34</v>
      </c>
      <c r="C191" s="3" t="str">
        <f>VLOOKUP(B191,'Accounts chart'!$A:$B,2,FALSE)</f>
        <v>รายรับค่าส่วนกลาง</v>
      </c>
      <c r="D191" t="s">
        <v>718</v>
      </c>
      <c r="E191" t="s">
        <v>500</v>
      </c>
      <c r="F191" t="s">
        <v>362</v>
      </c>
      <c r="G191" t="str">
        <f>VLOOKUP(F191,รายชื่อลูกบ้าน!$A:$B,2,FALSE)</f>
        <v>คุณพีรภัทร์ ศัสตราพฤกษ์</v>
      </c>
      <c r="H191" t="s">
        <v>384</v>
      </c>
      <c r="J191" s="20">
        <v>600</v>
      </c>
      <c r="K191" s="2"/>
    </row>
    <row r="192" spans="1:11">
      <c r="A192" s="2">
        <v>242181</v>
      </c>
      <c r="B192" s="7" t="s">
        <v>34</v>
      </c>
      <c r="C192" s="3" t="str">
        <f>VLOOKUP(B192,'Accounts chart'!$A:$B,2,FALSE)</f>
        <v>รายรับค่าส่วนกลาง</v>
      </c>
      <c r="D192" t="s">
        <v>718</v>
      </c>
      <c r="E192" t="s">
        <v>501</v>
      </c>
      <c r="F192" t="s">
        <v>251</v>
      </c>
      <c r="G192" t="str">
        <f>VLOOKUP(F192,รายชื่อลูกบ้าน!$A:$B,2,FALSE)</f>
        <v>คุณวิบูลย์ ฤทธิ์ทองพิทักษ์</v>
      </c>
      <c r="H192" t="s">
        <v>384</v>
      </c>
      <c r="J192" s="20">
        <v>600</v>
      </c>
      <c r="K192" s="2"/>
    </row>
    <row r="193" spans="1:11">
      <c r="A193" s="2"/>
      <c r="C193" s="3"/>
      <c r="I193" s="20"/>
      <c r="J193" s="20"/>
      <c r="K193" s="2"/>
    </row>
    <row r="194" spans="1:11">
      <c r="A194" s="2">
        <v>242184</v>
      </c>
      <c r="B194" s="7" t="s">
        <v>3</v>
      </c>
      <c r="C194" s="3" t="str">
        <f>VLOOKUP(B194,'Accounts chart'!$A:$B,2,FALSE)</f>
        <v>ธนาคารกสิกรไทย SA-040-1-56500-0</v>
      </c>
      <c r="D194" t="s">
        <v>719</v>
      </c>
      <c r="E194" t="s">
        <v>502</v>
      </c>
      <c r="F194" t="s">
        <v>275</v>
      </c>
      <c r="G194" t="str">
        <f>VLOOKUP(F194,รายชื่อลูกบ้าน!$A:$B,2,FALSE)</f>
        <v>คุณสมศักดิ์-คุณสวาท เลิศเจริญเสริมสุข</v>
      </c>
      <c r="H194" t="s">
        <v>383</v>
      </c>
      <c r="I194" s="20">
        <v>7000</v>
      </c>
      <c r="J194" s="20"/>
      <c r="K194" s="2"/>
    </row>
    <row r="195" spans="1:11">
      <c r="A195" s="2">
        <v>242184</v>
      </c>
      <c r="B195" s="7" t="s">
        <v>34</v>
      </c>
      <c r="C195" s="3" t="str">
        <f>VLOOKUP(B195,'Accounts chart'!$A:$B,2,FALSE)</f>
        <v>รายรับค่าส่วนกลาง</v>
      </c>
      <c r="D195" t="s">
        <v>719</v>
      </c>
      <c r="E195" t="s">
        <v>502</v>
      </c>
      <c r="F195" t="s">
        <v>275</v>
      </c>
      <c r="G195" t="str">
        <f>VLOOKUP(F195,รายชื่อลูกบ้าน!$A:$B,2,FALSE)</f>
        <v>คุณสมศักดิ์-คุณสวาท เลิศเจริญเสริมสุข</v>
      </c>
      <c r="H195" t="s">
        <v>383</v>
      </c>
      <c r="J195" s="20">
        <v>7000</v>
      </c>
      <c r="K195" s="2"/>
    </row>
    <row r="196" spans="1:11">
      <c r="A196" s="2"/>
      <c r="C196" s="3"/>
      <c r="I196" s="20"/>
      <c r="J196" s="20"/>
      <c r="K196" s="2"/>
    </row>
    <row r="197" spans="1:11">
      <c r="A197" s="2">
        <v>242185</v>
      </c>
      <c r="B197" s="7" t="s">
        <v>3</v>
      </c>
      <c r="C197" s="3" t="str">
        <f>VLOOKUP(B197,'Accounts chart'!$A:$B,2,FALSE)</f>
        <v>ธนาคารกสิกรไทย SA-040-1-56500-0</v>
      </c>
      <c r="D197" t="s">
        <v>720</v>
      </c>
      <c r="E197" t="s">
        <v>503</v>
      </c>
      <c r="F197" t="s">
        <v>227</v>
      </c>
      <c r="G197" t="str">
        <f>VLOOKUP(F197,รายชื่อลูกบ้าน!$A:$B,2,FALSE)</f>
        <v>คุณเกียรติชัย การรุ่งเรือง-คุณศศิธร เศียรศิริบัณฑิต</v>
      </c>
      <c r="H197" t="s">
        <v>384</v>
      </c>
      <c r="I197" s="20">
        <v>600</v>
      </c>
      <c r="J197" s="20"/>
      <c r="K197" s="2"/>
    </row>
    <row r="198" spans="1:11">
      <c r="A198" s="2">
        <v>242185</v>
      </c>
      <c r="B198" s="7" t="s">
        <v>3</v>
      </c>
      <c r="C198" s="3" t="str">
        <f>VLOOKUP(B198,'Accounts chart'!$A:$B,2,FALSE)</f>
        <v>ธนาคารกสิกรไทย SA-040-1-56500-0</v>
      </c>
      <c r="D198" t="s">
        <v>720</v>
      </c>
      <c r="E198" t="s">
        <v>504</v>
      </c>
      <c r="F198" t="s">
        <v>241</v>
      </c>
      <c r="G198" t="str">
        <f>VLOOKUP(F198,รายชื่อลูกบ้าน!$A:$B,2,FALSE)</f>
        <v>คุณสุกิจ หมื่นยศ</v>
      </c>
      <c r="H198" t="s">
        <v>384</v>
      </c>
      <c r="I198" s="20">
        <v>600</v>
      </c>
      <c r="J198" s="20"/>
      <c r="K198" s="2"/>
    </row>
    <row r="199" spans="1:11">
      <c r="A199" s="2">
        <v>242185</v>
      </c>
      <c r="B199" s="7" t="s">
        <v>3</v>
      </c>
      <c r="C199" s="3" t="str">
        <f>VLOOKUP(B199,'Accounts chart'!$A:$B,2,FALSE)</f>
        <v>ธนาคารกสิกรไทย SA-040-1-56500-0</v>
      </c>
      <c r="D199" t="s">
        <v>720</v>
      </c>
      <c r="E199" t="s">
        <v>505</v>
      </c>
      <c r="F199" t="s">
        <v>302</v>
      </c>
      <c r="G199" t="str">
        <f>VLOOKUP(F199,รายชื่อลูกบ้าน!$A:$B,2,FALSE)</f>
        <v>คุณณัฐพงษ์ ศรีไชยวาน</v>
      </c>
      <c r="H199" t="s">
        <v>383</v>
      </c>
      <c r="I199" s="20">
        <v>7000</v>
      </c>
      <c r="J199" s="20"/>
      <c r="K199" s="2"/>
    </row>
    <row r="200" spans="1:11">
      <c r="A200" s="2">
        <v>242185</v>
      </c>
      <c r="B200" s="7" t="s">
        <v>3</v>
      </c>
      <c r="C200" s="3" t="str">
        <f>VLOOKUP(B200,'Accounts chart'!$A:$B,2,FALSE)</f>
        <v>ธนาคารกสิกรไทย SA-040-1-56500-0</v>
      </c>
      <c r="D200" t="s">
        <v>720</v>
      </c>
      <c r="E200" t="s">
        <v>506</v>
      </c>
      <c r="F200" t="s">
        <v>209</v>
      </c>
      <c r="G200" t="str">
        <f>VLOOKUP(F200,รายชื่อลูกบ้าน!$A:$B,2,FALSE)</f>
        <v>คุณศักดา ไฮงาม</v>
      </c>
      <c r="H200" t="s">
        <v>409</v>
      </c>
      <c r="I200" s="20">
        <v>1200.69</v>
      </c>
      <c r="J200" s="20"/>
      <c r="K200" s="2"/>
    </row>
    <row r="201" spans="1:11">
      <c r="A201" s="2">
        <v>242185</v>
      </c>
      <c r="B201" s="7" t="s">
        <v>3</v>
      </c>
      <c r="C201" s="3" t="str">
        <f>VLOOKUP(B201,'Accounts chart'!$A:$B,2,FALSE)</f>
        <v>ธนาคารกสิกรไทย SA-040-1-56500-0</v>
      </c>
      <c r="D201" t="s">
        <v>720</v>
      </c>
      <c r="E201" t="s">
        <v>507</v>
      </c>
      <c r="F201" t="s">
        <v>335</v>
      </c>
      <c r="G201" t="str">
        <f>VLOOKUP(F201,รายชื่อลูกบ้าน!$A:$B,2,FALSE)</f>
        <v>คุณอภิกฤช อำนาจช่วย</v>
      </c>
      <c r="H201" t="s">
        <v>383</v>
      </c>
      <c r="I201" s="20">
        <v>7000</v>
      </c>
      <c r="J201" s="20"/>
      <c r="K201" s="2"/>
    </row>
    <row r="202" spans="1:11">
      <c r="A202" s="2">
        <v>242185</v>
      </c>
      <c r="B202" s="7" t="s">
        <v>3</v>
      </c>
      <c r="C202" s="3" t="str">
        <f>VLOOKUP(B202,'Accounts chart'!$A:$B,2,FALSE)</f>
        <v>ธนาคารกสิกรไทย SA-040-1-56500-0</v>
      </c>
      <c r="D202" t="s">
        <v>720</v>
      </c>
      <c r="E202" t="s">
        <v>508</v>
      </c>
      <c r="F202" t="s">
        <v>124</v>
      </c>
      <c r="G202" t="str">
        <f>VLOOKUP(F202,รายชื่อลูกบ้าน!$A:$B,2,FALSE)</f>
        <v>คุณพงษ์ศักดิ์ วัฒนจรูญโรจน์</v>
      </c>
      <c r="H202" t="s">
        <v>383</v>
      </c>
      <c r="I202" s="20">
        <v>7000</v>
      </c>
      <c r="J202" s="20"/>
      <c r="K202" s="2"/>
    </row>
    <row r="203" spans="1:11">
      <c r="A203" s="2">
        <v>242185</v>
      </c>
      <c r="B203" s="7" t="s">
        <v>3</v>
      </c>
      <c r="C203" s="3" t="str">
        <f>VLOOKUP(B203,'Accounts chart'!$A:$B,2,FALSE)</f>
        <v>ธนาคารกสิกรไทย SA-040-1-56500-0</v>
      </c>
      <c r="D203" t="s">
        <v>720</v>
      </c>
      <c r="E203" t="s">
        <v>509</v>
      </c>
      <c r="F203" t="s">
        <v>300</v>
      </c>
      <c r="G203" t="str">
        <f>VLOOKUP(F203,รายชื่อลูกบ้าน!$A:$B,2,FALSE)</f>
        <v>คุณเชาว์วัศ-คุณสุวภาพ เวชทัศน์</v>
      </c>
      <c r="H203" t="s">
        <v>384</v>
      </c>
      <c r="I203" s="20">
        <v>600</v>
      </c>
      <c r="J203" s="20"/>
      <c r="K203" s="2"/>
    </row>
    <row r="204" spans="1:11">
      <c r="A204" s="2">
        <v>242185</v>
      </c>
      <c r="B204" s="7" t="s">
        <v>3</v>
      </c>
      <c r="C204" s="3" t="str">
        <f>VLOOKUP(B204,'Accounts chart'!$A:$B,2,FALSE)</f>
        <v>ธนาคารกสิกรไทย SA-040-1-56500-0</v>
      </c>
      <c r="D204" t="s">
        <v>720</v>
      </c>
      <c r="E204" t="s">
        <v>510</v>
      </c>
      <c r="F204" t="s">
        <v>195</v>
      </c>
      <c r="G204" t="str">
        <f>VLOOKUP(F204,รายชื่อลูกบ้าน!$A:$B,2,FALSE)</f>
        <v>คุณชานนท์ นนทรังษี</v>
      </c>
      <c r="H204" t="s">
        <v>384</v>
      </c>
      <c r="I204" s="20">
        <v>600</v>
      </c>
      <c r="J204" s="20"/>
      <c r="K204" s="2"/>
    </row>
    <row r="205" spans="1:11">
      <c r="A205" s="2">
        <v>242185</v>
      </c>
      <c r="B205" s="7" t="s">
        <v>3</v>
      </c>
      <c r="C205" s="3" t="str">
        <f>VLOOKUP(B205,'Accounts chart'!$A:$B,2,FALSE)</f>
        <v>ธนาคารกสิกรไทย SA-040-1-56500-0</v>
      </c>
      <c r="D205" t="s">
        <v>720</v>
      </c>
      <c r="E205" t="s">
        <v>511</v>
      </c>
      <c r="F205" t="s">
        <v>285</v>
      </c>
      <c r="G205" t="str">
        <f>VLOOKUP(F205,รายชื่อลูกบ้าน!$A:$B,2,FALSE)</f>
        <v>คุณประจักษ์ เนื่องละออ-คุณวนิดา เส็งนิสัย</v>
      </c>
      <c r="H205" t="s">
        <v>384</v>
      </c>
      <c r="I205" s="20">
        <v>601.12</v>
      </c>
      <c r="J205" s="20"/>
      <c r="K205" s="2"/>
    </row>
    <row r="206" spans="1:11">
      <c r="A206" s="2">
        <v>242185</v>
      </c>
      <c r="B206" s="7" t="s">
        <v>34</v>
      </c>
      <c r="C206" s="3" t="str">
        <f>VLOOKUP(B206,'Accounts chart'!$A:$B,2,FALSE)</f>
        <v>รายรับค่าส่วนกลาง</v>
      </c>
      <c r="D206" t="s">
        <v>720</v>
      </c>
      <c r="E206" t="s">
        <v>503</v>
      </c>
      <c r="F206" t="s">
        <v>227</v>
      </c>
      <c r="G206" t="str">
        <f>VLOOKUP(F206,รายชื่อลูกบ้าน!$A:$B,2,FALSE)</f>
        <v>คุณเกียรติชัย การรุ่งเรือง-คุณศศิธร เศียรศิริบัณฑิต</v>
      </c>
      <c r="H206" t="s">
        <v>384</v>
      </c>
      <c r="J206" s="20">
        <v>600</v>
      </c>
      <c r="K206" s="2"/>
    </row>
    <row r="207" spans="1:11">
      <c r="A207" s="2">
        <v>242185</v>
      </c>
      <c r="B207" s="7" t="s">
        <v>34</v>
      </c>
      <c r="C207" s="3" t="str">
        <f>VLOOKUP(B207,'Accounts chart'!$A:$B,2,FALSE)</f>
        <v>รายรับค่าส่วนกลาง</v>
      </c>
      <c r="D207" t="s">
        <v>720</v>
      </c>
      <c r="E207" t="s">
        <v>504</v>
      </c>
      <c r="F207" t="s">
        <v>241</v>
      </c>
      <c r="G207" t="str">
        <f>VLOOKUP(F207,รายชื่อลูกบ้าน!$A:$B,2,FALSE)</f>
        <v>คุณสุกิจ หมื่นยศ</v>
      </c>
      <c r="H207" t="s">
        <v>384</v>
      </c>
      <c r="J207" s="20">
        <v>600</v>
      </c>
      <c r="K207" s="2"/>
    </row>
    <row r="208" spans="1:11">
      <c r="A208" s="2">
        <v>242185</v>
      </c>
      <c r="B208" s="7" t="s">
        <v>34</v>
      </c>
      <c r="C208" s="3" t="str">
        <f>VLOOKUP(B208,'Accounts chart'!$A:$B,2,FALSE)</f>
        <v>รายรับค่าส่วนกลาง</v>
      </c>
      <c r="D208" t="s">
        <v>720</v>
      </c>
      <c r="E208" t="s">
        <v>505</v>
      </c>
      <c r="F208" t="s">
        <v>302</v>
      </c>
      <c r="G208" t="str">
        <f>VLOOKUP(F208,รายชื่อลูกบ้าน!$A:$B,2,FALSE)</f>
        <v>คุณณัฐพงษ์ ศรีไชยวาน</v>
      </c>
      <c r="H208" t="s">
        <v>383</v>
      </c>
      <c r="J208" s="20">
        <v>7000</v>
      </c>
      <c r="K208" s="2"/>
    </row>
    <row r="209" spans="1:11">
      <c r="A209" s="2">
        <v>242185</v>
      </c>
      <c r="B209" s="7" t="s">
        <v>4</v>
      </c>
      <c r="C209" s="3" t="str">
        <f>VLOOKUP(B209,'Accounts chart'!$A:$B,2,FALSE)</f>
        <v>ลูกหนี้ค่าส่วนกลาง</v>
      </c>
      <c r="D209" t="s">
        <v>720</v>
      </c>
      <c r="E209" t="s">
        <v>506</v>
      </c>
      <c r="F209" t="s">
        <v>209</v>
      </c>
      <c r="G209" t="str">
        <f>VLOOKUP(F209,รายชื่อลูกบ้าน!$A:$B,2,FALSE)</f>
        <v>คุณศักดา ไฮงาม</v>
      </c>
      <c r="H209" t="s">
        <v>409</v>
      </c>
      <c r="J209" s="20">
        <v>1200.69</v>
      </c>
      <c r="K209" s="2"/>
    </row>
    <row r="210" spans="1:11">
      <c r="A210" s="2">
        <v>242185</v>
      </c>
      <c r="B210" s="7" t="s">
        <v>34</v>
      </c>
      <c r="C210" s="3" t="str">
        <f>VLOOKUP(B210,'Accounts chart'!$A:$B,2,FALSE)</f>
        <v>รายรับค่าส่วนกลาง</v>
      </c>
      <c r="D210" t="s">
        <v>720</v>
      </c>
      <c r="E210" t="s">
        <v>507</v>
      </c>
      <c r="F210" t="s">
        <v>335</v>
      </c>
      <c r="G210" t="str">
        <f>VLOOKUP(F210,รายชื่อลูกบ้าน!$A:$B,2,FALSE)</f>
        <v>คุณอภิกฤช อำนาจช่วย</v>
      </c>
      <c r="H210" t="s">
        <v>383</v>
      </c>
      <c r="J210" s="20">
        <v>7000</v>
      </c>
      <c r="K210" s="2"/>
    </row>
    <row r="211" spans="1:11">
      <c r="A211" s="2">
        <v>242185</v>
      </c>
      <c r="B211" s="7" t="s">
        <v>34</v>
      </c>
      <c r="C211" s="3" t="str">
        <f>VLOOKUP(B211,'Accounts chart'!$A:$B,2,FALSE)</f>
        <v>รายรับค่าส่วนกลาง</v>
      </c>
      <c r="D211" t="s">
        <v>720</v>
      </c>
      <c r="E211" t="s">
        <v>508</v>
      </c>
      <c r="F211" t="s">
        <v>124</v>
      </c>
      <c r="G211" t="str">
        <f>VLOOKUP(F211,รายชื่อลูกบ้าน!$A:$B,2,FALSE)</f>
        <v>คุณพงษ์ศักดิ์ วัฒนจรูญโรจน์</v>
      </c>
      <c r="H211" t="s">
        <v>383</v>
      </c>
      <c r="J211" s="20">
        <v>7000</v>
      </c>
      <c r="K211" s="2"/>
    </row>
    <row r="212" spans="1:11">
      <c r="A212" s="2">
        <v>242185</v>
      </c>
      <c r="B212" s="7" t="s">
        <v>34</v>
      </c>
      <c r="C212" s="3" t="str">
        <f>VLOOKUP(B212,'Accounts chart'!$A:$B,2,FALSE)</f>
        <v>รายรับค่าส่วนกลาง</v>
      </c>
      <c r="D212" t="s">
        <v>720</v>
      </c>
      <c r="E212" t="s">
        <v>509</v>
      </c>
      <c r="F212" t="s">
        <v>300</v>
      </c>
      <c r="G212" t="str">
        <f>VLOOKUP(F212,รายชื่อลูกบ้าน!$A:$B,2,FALSE)</f>
        <v>คุณเชาว์วัศ-คุณสุวภาพ เวชทัศน์</v>
      </c>
      <c r="H212" t="s">
        <v>384</v>
      </c>
      <c r="J212" s="20">
        <v>600</v>
      </c>
      <c r="K212" s="2"/>
    </row>
    <row r="213" spans="1:11">
      <c r="A213" s="2">
        <v>242185</v>
      </c>
      <c r="B213" s="7" t="s">
        <v>34</v>
      </c>
      <c r="C213" s="3" t="str">
        <f>VLOOKUP(B213,'Accounts chart'!$A:$B,2,FALSE)</f>
        <v>รายรับค่าส่วนกลาง</v>
      </c>
      <c r="D213" t="s">
        <v>720</v>
      </c>
      <c r="E213" t="s">
        <v>510</v>
      </c>
      <c r="F213" t="s">
        <v>195</v>
      </c>
      <c r="G213" t="str">
        <f>VLOOKUP(F213,รายชื่อลูกบ้าน!$A:$B,2,FALSE)</f>
        <v>คุณชานนท์ นนทรังษี</v>
      </c>
      <c r="H213" t="s">
        <v>384</v>
      </c>
      <c r="J213" s="20">
        <v>600</v>
      </c>
      <c r="K213" s="2"/>
    </row>
    <row r="214" spans="1:11">
      <c r="A214" s="2">
        <v>242185</v>
      </c>
      <c r="B214" s="7" t="s">
        <v>34</v>
      </c>
      <c r="C214" s="3" t="str">
        <f>VLOOKUP(B214,'Accounts chart'!$A:$B,2,FALSE)</f>
        <v>รายรับค่าส่วนกลาง</v>
      </c>
      <c r="D214" t="s">
        <v>720</v>
      </c>
      <c r="E214" t="s">
        <v>511</v>
      </c>
      <c r="F214" t="s">
        <v>285</v>
      </c>
      <c r="G214" t="str">
        <f>VLOOKUP(F214,รายชื่อลูกบ้าน!$A:$B,2,FALSE)</f>
        <v>คุณประจักษ์ เนื่องละออ-คุณวนิดา เส็งนิสัย</v>
      </c>
      <c r="H214" t="s">
        <v>384</v>
      </c>
      <c r="J214" s="20">
        <v>601.12</v>
      </c>
      <c r="K214" s="2"/>
    </row>
    <row r="215" spans="1:11">
      <c r="A215" s="2"/>
      <c r="C215" s="3"/>
      <c r="I215" s="20"/>
      <c r="J215" s="20"/>
      <c r="K215" s="2"/>
    </row>
    <row r="216" spans="1:11">
      <c r="A216" s="2"/>
      <c r="C216" s="3"/>
      <c r="I216" s="20"/>
      <c r="J216" s="20"/>
      <c r="K216" s="2"/>
    </row>
    <row r="217" spans="1:11">
      <c r="A217" s="2">
        <v>242186</v>
      </c>
      <c r="B217" s="7" t="s">
        <v>3</v>
      </c>
      <c r="C217" s="3" t="str">
        <f>VLOOKUP(B217,'Accounts chart'!$A:$B,2,FALSE)</f>
        <v>ธนาคารกสิกรไทย SA-040-1-56500-0</v>
      </c>
      <c r="D217" t="s">
        <v>721</v>
      </c>
      <c r="E217" t="s">
        <v>512</v>
      </c>
      <c r="F217" t="s">
        <v>173</v>
      </c>
      <c r="G217" t="str">
        <f>VLOOKUP(F217,รายชื่อลูกบ้าน!$A:$B,2,FALSE)</f>
        <v>คุณพิริยะ ทรัพย์เจริญ-คุณเยาวเรศ โกสุมพิทักษ์</v>
      </c>
      <c r="H217" t="s">
        <v>384</v>
      </c>
      <c r="I217" s="20">
        <v>600</v>
      </c>
      <c r="J217" s="20"/>
      <c r="K217" s="2"/>
    </row>
    <row r="218" spans="1:11">
      <c r="A218" s="2">
        <v>242186</v>
      </c>
      <c r="B218" s="7" t="s">
        <v>3</v>
      </c>
      <c r="C218" s="3" t="str">
        <f>VLOOKUP(B218,'Accounts chart'!$A:$B,2,FALSE)</f>
        <v>ธนาคารกสิกรไทย SA-040-1-56500-0</v>
      </c>
      <c r="D218" t="s">
        <v>721</v>
      </c>
      <c r="E218" t="s">
        <v>513</v>
      </c>
      <c r="F218" t="s">
        <v>255</v>
      </c>
      <c r="G218" t="str">
        <f>VLOOKUP(F218,รายชื่อลูกบ้าน!$A:$B,2,FALSE)</f>
        <v>คุณไชยยันต์ แก้วบุญศรี</v>
      </c>
      <c r="H218" t="s">
        <v>385</v>
      </c>
      <c r="I218" s="20">
        <v>600</v>
      </c>
      <c r="J218" s="20"/>
      <c r="K218" s="2"/>
    </row>
    <row r="219" spans="1:11">
      <c r="A219" s="2">
        <v>242186</v>
      </c>
      <c r="B219" s="7" t="s">
        <v>3</v>
      </c>
      <c r="C219" s="3" t="str">
        <f>VLOOKUP(B219,'Accounts chart'!$A:$B,2,FALSE)</f>
        <v>ธนาคารกสิกรไทย SA-040-1-56500-0</v>
      </c>
      <c r="D219" t="s">
        <v>721</v>
      </c>
      <c r="E219" t="s">
        <v>514</v>
      </c>
      <c r="F219" t="s">
        <v>267</v>
      </c>
      <c r="G219" t="str">
        <f>VLOOKUP(F219,รายชื่อลูกบ้าน!$A:$B,2,FALSE)</f>
        <v>คุณดนัย ฮาวต่อมแก้ว</v>
      </c>
      <c r="H219" t="s">
        <v>384</v>
      </c>
      <c r="I219" s="20">
        <v>600</v>
      </c>
      <c r="J219" s="20"/>
      <c r="K219" s="2"/>
    </row>
    <row r="220" spans="1:11">
      <c r="A220" s="2">
        <v>242186</v>
      </c>
      <c r="B220" s="7" t="s">
        <v>34</v>
      </c>
      <c r="C220" s="3" t="str">
        <f>VLOOKUP(B220,'Accounts chart'!$A:$B,2,FALSE)</f>
        <v>รายรับค่าส่วนกลาง</v>
      </c>
      <c r="D220" t="s">
        <v>721</v>
      </c>
      <c r="E220" t="s">
        <v>512</v>
      </c>
      <c r="F220" t="s">
        <v>173</v>
      </c>
      <c r="G220" t="str">
        <f>VLOOKUP(F220,รายชื่อลูกบ้าน!$A:$B,2,FALSE)</f>
        <v>คุณพิริยะ ทรัพย์เจริญ-คุณเยาวเรศ โกสุมพิทักษ์</v>
      </c>
      <c r="H220" t="s">
        <v>384</v>
      </c>
      <c r="J220" s="20">
        <v>600</v>
      </c>
      <c r="K220" s="2"/>
    </row>
    <row r="221" spans="1:11">
      <c r="A221" s="2">
        <v>242186</v>
      </c>
      <c r="B221" s="7" t="s">
        <v>34</v>
      </c>
      <c r="C221" s="3" t="str">
        <f>VLOOKUP(B221,'Accounts chart'!$A:$B,2,FALSE)</f>
        <v>รายรับค่าส่วนกลาง</v>
      </c>
      <c r="D221" t="s">
        <v>721</v>
      </c>
      <c r="E221" t="s">
        <v>513</v>
      </c>
      <c r="F221" t="s">
        <v>255</v>
      </c>
      <c r="G221" t="str">
        <f>VLOOKUP(F221,รายชื่อลูกบ้าน!$A:$B,2,FALSE)</f>
        <v>คุณไชยยันต์ แก้วบุญศรี</v>
      </c>
      <c r="H221" t="s">
        <v>385</v>
      </c>
      <c r="J221" s="20">
        <v>600</v>
      </c>
      <c r="K221" s="2"/>
    </row>
    <row r="222" spans="1:11">
      <c r="A222" s="2">
        <v>242186</v>
      </c>
      <c r="B222" s="7" t="s">
        <v>34</v>
      </c>
      <c r="C222" s="3" t="str">
        <f>VLOOKUP(B222,'Accounts chart'!$A:$B,2,FALSE)</f>
        <v>รายรับค่าส่วนกลาง</v>
      </c>
      <c r="D222" t="s">
        <v>721</v>
      </c>
      <c r="E222" t="s">
        <v>514</v>
      </c>
      <c r="F222" t="s">
        <v>267</v>
      </c>
      <c r="G222" t="str">
        <f>VLOOKUP(F222,รายชื่อลูกบ้าน!$A:$B,2,FALSE)</f>
        <v>คุณดนัย ฮาวต่อมแก้ว</v>
      </c>
      <c r="H222" t="s">
        <v>384</v>
      </c>
      <c r="J222" s="20">
        <v>600</v>
      </c>
      <c r="K222" s="2"/>
    </row>
    <row r="223" spans="1:11">
      <c r="A223" s="2"/>
      <c r="C223" s="3"/>
      <c r="I223" s="20"/>
      <c r="J223" s="20"/>
      <c r="K223" s="2"/>
    </row>
    <row r="224" spans="1:11">
      <c r="A224" s="2">
        <v>242187</v>
      </c>
      <c r="B224" s="7" t="s">
        <v>3</v>
      </c>
      <c r="C224" s="3" t="str">
        <f>VLOOKUP(B224,'Accounts chart'!$A:$B,2,FALSE)</f>
        <v>ธนาคารกสิกรไทย SA-040-1-56500-0</v>
      </c>
      <c r="D224" t="s">
        <v>722</v>
      </c>
      <c r="E224" t="s">
        <v>515</v>
      </c>
      <c r="F224" t="s">
        <v>319</v>
      </c>
      <c r="G224" t="str">
        <f>VLOOKUP(F224,รายชื่อลูกบ้าน!$A:$B,2,FALSE)</f>
        <v>คุณณัฐพงศ์ สุวรรณมณี</v>
      </c>
      <c r="H224" t="s">
        <v>384</v>
      </c>
      <c r="I224" s="20">
        <v>600</v>
      </c>
      <c r="J224" s="20"/>
      <c r="K224" s="2"/>
    </row>
    <row r="225" spans="1:11">
      <c r="A225" s="2">
        <v>242187</v>
      </c>
      <c r="B225" s="7" t="s">
        <v>3</v>
      </c>
      <c r="C225" s="3" t="str">
        <f>VLOOKUP(B225,'Accounts chart'!$A:$B,2,FALSE)</f>
        <v>ธนาคารกสิกรไทย SA-040-1-56500-0</v>
      </c>
      <c r="D225" t="s">
        <v>722</v>
      </c>
      <c r="E225" t="s">
        <v>516</v>
      </c>
      <c r="F225" t="s">
        <v>72</v>
      </c>
      <c r="G225" t="str">
        <f>VLOOKUP(F225,รายชื่อลูกบ้าน!$A:$B,2,FALSE)</f>
        <v>คุณวรวุฒิ นาทอง</v>
      </c>
      <c r="H225" t="s">
        <v>384</v>
      </c>
      <c r="I225" s="20">
        <v>600</v>
      </c>
      <c r="J225" s="20"/>
      <c r="K225" s="2"/>
    </row>
    <row r="226" spans="1:11">
      <c r="A226" s="2">
        <v>242187</v>
      </c>
      <c r="B226" s="7" t="s">
        <v>34</v>
      </c>
      <c r="C226" s="3" t="str">
        <f>VLOOKUP(B226,'Accounts chart'!$A:$B,2,FALSE)</f>
        <v>รายรับค่าส่วนกลาง</v>
      </c>
      <c r="D226" t="s">
        <v>722</v>
      </c>
      <c r="E226" t="s">
        <v>515</v>
      </c>
      <c r="F226" t="s">
        <v>319</v>
      </c>
      <c r="G226" t="str">
        <f>VLOOKUP(F226,รายชื่อลูกบ้าน!$A:$B,2,FALSE)</f>
        <v>คุณณัฐพงศ์ สุวรรณมณี</v>
      </c>
      <c r="H226" t="s">
        <v>384</v>
      </c>
      <c r="J226" s="20">
        <v>600</v>
      </c>
      <c r="K226" s="2"/>
    </row>
    <row r="227" spans="1:11">
      <c r="A227" s="2">
        <v>242187</v>
      </c>
      <c r="B227" s="7" t="s">
        <v>34</v>
      </c>
      <c r="C227" s="3" t="str">
        <f>VLOOKUP(B227,'Accounts chart'!$A:$B,2,FALSE)</f>
        <v>รายรับค่าส่วนกลาง</v>
      </c>
      <c r="D227" t="s">
        <v>722</v>
      </c>
      <c r="E227" t="s">
        <v>516</v>
      </c>
      <c r="F227" t="s">
        <v>72</v>
      </c>
      <c r="G227" t="str">
        <f>VLOOKUP(F227,รายชื่อลูกบ้าน!$A:$B,2,FALSE)</f>
        <v>คุณวรวุฒิ นาทอง</v>
      </c>
      <c r="H227" t="s">
        <v>384</v>
      </c>
      <c r="J227" s="20">
        <v>600</v>
      </c>
      <c r="K227" s="2"/>
    </row>
    <row r="228" spans="1:11">
      <c r="A228" s="2"/>
      <c r="C228" s="3"/>
      <c r="I228" s="20"/>
      <c r="J228" s="20"/>
      <c r="K228" s="2"/>
    </row>
    <row r="229" spans="1:11">
      <c r="A229" s="2">
        <v>242188</v>
      </c>
      <c r="B229" s="7" t="s">
        <v>3</v>
      </c>
      <c r="C229" s="3" t="str">
        <f>VLOOKUP(B229,'Accounts chart'!$A:$B,2,FALSE)</f>
        <v>ธนาคารกสิกรไทย SA-040-1-56500-0</v>
      </c>
      <c r="D229" t="s">
        <v>723</v>
      </c>
      <c r="E229" t="s">
        <v>517</v>
      </c>
      <c r="F229" t="s">
        <v>323</v>
      </c>
      <c r="G229" t="str">
        <f>VLOOKUP(F229,รายชื่อลูกบ้าน!$A:$B,2,FALSE)</f>
        <v>คุณเกียงไกร ไชยเดช</v>
      </c>
      <c r="H229" t="s">
        <v>384</v>
      </c>
      <c r="I229" s="20">
        <v>600</v>
      </c>
      <c r="J229" s="20"/>
      <c r="K229" s="2"/>
    </row>
    <row r="230" spans="1:11">
      <c r="A230" s="2">
        <v>242188</v>
      </c>
      <c r="B230" s="7" t="s">
        <v>3</v>
      </c>
      <c r="C230" s="3" t="str">
        <f>VLOOKUP(B230,'Accounts chart'!$A:$B,2,FALSE)</f>
        <v>ธนาคารกสิกรไทย SA-040-1-56500-0</v>
      </c>
      <c r="D230" t="s">
        <v>723</v>
      </c>
      <c r="E230" t="s">
        <v>518</v>
      </c>
      <c r="F230" t="s">
        <v>201</v>
      </c>
      <c r="G230" t="str">
        <f>VLOOKUP(F230,รายชื่อลูกบ้าน!$A:$B,2,FALSE)</f>
        <v>คุณณัฐธีร์ เลิศรัตน์วัฒนา</v>
      </c>
      <c r="H230" t="s">
        <v>384</v>
      </c>
      <c r="I230" s="20">
        <v>600</v>
      </c>
      <c r="J230" s="20"/>
      <c r="K230" s="2"/>
    </row>
    <row r="231" spans="1:11">
      <c r="A231" s="2">
        <v>242188</v>
      </c>
      <c r="B231" s="7" t="s">
        <v>3</v>
      </c>
      <c r="C231" s="3" t="str">
        <f>VLOOKUP(B231,'Accounts chart'!$A:$B,2,FALSE)</f>
        <v>ธนาคารกสิกรไทย SA-040-1-56500-0</v>
      </c>
      <c r="D231" t="s">
        <v>723</v>
      </c>
      <c r="E231" t="s">
        <v>519</v>
      </c>
      <c r="F231" t="s">
        <v>118</v>
      </c>
      <c r="G231" t="str">
        <f>VLOOKUP(F231,รายชื่อลูกบ้าน!$A:$B,2,FALSE)</f>
        <v>คุณด้ามพรรณ ตั้งทองจิตร-คุณศราวุธ ฑพธาภิรมย์</v>
      </c>
      <c r="H231" t="s">
        <v>400</v>
      </c>
      <c r="I231" s="20">
        <v>600</v>
      </c>
      <c r="J231" s="20"/>
      <c r="K231" s="2"/>
    </row>
    <row r="232" spans="1:11">
      <c r="A232" s="2">
        <v>242188</v>
      </c>
      <c r="B232" s="7" t="s">
        <v>3</v>
      </c>
      <c r="C232" s="3" t="str">
        <f>VLOOKUP(B232,'Accounts chart'!$A:$B,2,FALSE)</f>
        <v>ธนาคารกสิกรไทย SA-040-1-56500-0</v>
      </c>
      <c r="D232" t="s">
        <v>723</v>
      </c>
      <c r="E232" t="s">
        <v>520</v>
      </c>
      <c r="F232" t="s">
        <v>134</v>
      </c>
      <c r="G232" t="str">
        <f>VLOOKUP(F232,รายชื่อลูกบ้าน!$A:$B,2,FALSE)</f>
        <v>คุณอวยชัย ลีขสวัสดิ์</v>
      </c>
      <c r="H232" t="s">
        <v>384</v>
      </c>
      <c r="I232" s="20">
        <v>600</v>
      </c>
      <c r="J232" s="20"/>
      <c r="K232" s="2"/>
    </row>
    <row r="233" spans="1:11">
      <c r="A233" s="2">
        <v>242188</v>
      </c>
      <c r="B233" s="7" t="s">
        <v>3</v>
      </c>
      <c r="C233" s="3" t="str">
        <f>VLOOKUP(B233,'Accounts chart'!$A:$B,2,FALSE)</f>
        <v>ธนาคารกสิกรไทย SA-040-1-56500-0</v>
      </c>
      <c r="D233" t="s">
        <v>723</v>
      </c>
      <c r="E233" t="s">
        <v>521</v>
      </c>
      <c r="F233" t="s">
        <v>101</v>
      </c>
      <c r="G233" t="str">
        <f>VLOOKUP(F233,รายชื่อลูกบ้าน!$A:$B,2,FALSE)</f>
        <v>คุณเฉลิมเกียรติ และนางนันริญา ราชนาจันทร์</v>
      </c>
      <c r="H233" t="s">
        <v>384</v>
      </c>
      <c r="I233" s="20">
        <v>600</v>
      </c>
      <c r="J233" s="20"/>
      <c r="K233" s="2"/>
    </row>
    <row r="234" spans="1:11">
      <c r="A234" s="2">
        <v>242188</v>
      </c>
      <c r="B234" s="7" t="s">
        <v>3</v>
      </c>
      <c r="C234" s="3" t="str">
        <f>VLOOKUP(B234,'Accounts chart'!$A:$B,2,FALSE)</f>
        <v>ธนาคารกสิกรไทย SA-040-1-56500-0</v>
      </c>
      <c r="D234" t="s">
        <v>723</v>
      </c>
      <c r="E234" t="s">
        <v>522</v>
      </c>
      <c r="F234" t="s">
        <v>225</v>
      </c>
      <c r="G234" t="str">
        <f>VLOOKUP(F234,รายชื่อลูกบ้าน!$A:$B,2,FALSE)</f>
        <v>คุณถวิล เคสา</v>
      </c>
      <c r="H234" t="s">
        <v>385</v>
      </c>
      <c r="I234" s="20">
        <v>600</v>
      </c>
      <c r="J234" s="20"/>
      <c r="K234" s="2"/>
    </row>
    <row r="235" spans="1:11">
      <c r="A235" s="2">
        <v>242188</v>
      </c>
      <c r="B235" s="7" t="s">
        <v>34</v>
      </c>
      <c r="C235" s="3" t="str">
        <f>VLOOKUP(B235,'Accounts chart'!$A:$B,2,FALSE)</f>
        <v>รายรับค่าส่วนกลาง</v>
      </c>
      <c r="D235" t="s">
        <v>723</v>
      </c>
      <c r="E235" t="s">
        <v>517</v>
      </c>
      <c r="F235" t="s">
        <v>323</v>
      </c>
      <c r="G235" t="str">
        <f>VLOOKUP(F235,รายชื่อลูกบ้าน!$A:$B,2,FALSE)</f>
        <v>คุณเกียงไกร ไชยเดช</v>
      </c>
      <c r="H235" t="s">
        <v>384</v>
      </c>
      <c r="J235" s="20">
        <v>600</v>
      </c>
    </row>
    <row r="236" spans="1:11">
      <c r="A236" s="2">
        <v>242188</v>
      </c>
      <c r="B236" s="7" t="s">
        <v>34</v>
      </c>
      <c r="C236" s="3" t="str">
        <f>VLOOKUP(B236,'Accounts chart'!$A:$B,2,FALSE)</f>
        <v>รายรับค่าส่วนกลาง</v>
      </c>
      <c r="D236" t="s">
        <v>723</v>
      </c>
      <c r="E236" t="s">
        <v>518</v>
      </c>
      <c r="F236" t="s">
        <v>201</v>
      </c>
      <c r="G236" t="str">
        <f>VLOOKUP(F236,รายชื่อลูกบ้าน!$A:$B,2,FALSE)</f>
        <v>คุณณัฐธีร์ เลิศรัตน์วัฒนา</v>
      </c>
      <c r="H236" t="s">
        <v>384</v>
      </c>
      <c r="J236" s="20">
        <v>600</v>
      </c>
    </row>
    <row r="237" spans="1:11">
      <c r="A237" s="2">
        <v>242188</v>
      </c>
      <c r="B237" s="7" t="s">
        <v>4</v>
      </c>
      <c r="C237" s="3" t="str">
        <f>VLOOKUP(B237,'Accounts chart'!$A:$B,2,FALSE)</f>
        <v>ลูกหนี้ค่าส่วนกลาง</v>
      </c>
      <c r="D237" t="s">
        <v>723</v>
      </c>
      <c r="E237" t="s">
        <v>519</v>
      </c>
      <c r="F237" t="s">
        <v>118</v>
      </c>
      <c r="G237" t="str">
        <f>VLOOKUP(F237,รายชื่อลูกบ้าน!$A:$B,2,FALSE)</f>
        <v>คุณด้ามพรรณ ตั้งทองจิตร-คุณศราวุธ ฑพธาภิรมย์</v>
      </c>
      <c r="H237" t="s">
        <v>400</v>
      </c>
      <c r="J237" s="20">
        <v>600</v>
      </c>
    </row>
    <row r="238" spans="1:11">
      <c r="A238" s="2">
        <v>242188</v>
      </c>
      <c r="B238" s="7" t="s">
        <v>34</v>
      </c>
      <c r="C238" s="3" t="str">
        <f>VLOOKUP(B238,'Accounts chart'!$A:$B,2,FALSE)</f>
        <v>รายรับค่าส่วนกลาง</v>
      </c>
      <c r="D238" t="s">
        <v>723</v>
      </c>
      <c r="E238" t="s">
        <v>520</v>
      </c>
      <c r="F238" t="s">
        <v>134</v>
      </c>
      <c r="G238" t="str">
        <f>VLOOKUP(F238,รายชื่อลูกบ้าน!$A:$B,2,FALSE)</f>
        <v>คุณอวยชัย ลีขสวัสดิ์</v>
      </c>
      <c r="H238" t="s">
        <v>384</v>
      </c>
      <c r="J238" s="20">
        <v>600</v>
      </c>
    </row>
    <row r="239" spans="1:11">
      <c r="A239" s="2">
        <v>242188</v>
      </c>
      <c r="B239" s="7" t="s">
        <v>34</v>
      </c>
      <c r="C239" s="3" t="str">
        <f>VLOOKUP(B239,'Accounts chart'!$A:$B,2,FALSE)</f>
        <v>รายรับค่าส่วนกลาง</v>
      </c>
      <c r="D239" t="s">
        <v>723</v>
      </c>
      <c r="E239" t="s">
        <v>521</v>
      </c>
      <c r="F239" t="s">
        <v>101</v>
      </c>
      <c r="G239" t="str">
        <f>VLOOKUP(F239,รายชื่อลูกบ้าน!$A:$B,2,FALSE)</f>
        <v>คุณเฉลิมเกียรติ และนางนันริญา ราชนาจันทร์</v>
      </c>
      <c r="H239" t="s">
        <v>384</v>
      </c>
      <c r="J239" s="20">
        <v>600</v>
      </c>
    </row>
    <row r="240" spans="1:11">
      <c r="A240" s="2">
        <v>242188</v>
      </c>
      <c r="B240" s="7" t="s">
        <v>34</v>
      </c>
      <c r="C240" s="3" t="str">
        <f>VLOOKUP(B240,'Accounts chart'!$A:$B,2,FALSE)</f>
        <v>รายรับค่าส่วนกลาง</v>
      </c>
      <c r="D240" t="s">
        <v>723</v>
      </c>
      <c r="E240" t="s">
        <v>522</v>
      </c>
      <c r="F240" t="s">
        <v>225</v>
      </c>
      <c r="G240" t="str">
        <f>VLOOKUP(F240,รายชื่อลูกบ้าน!$A:$B,2,FALSE)</f>
        <v>คุณถวิล เคสา</v>
      </c>
      <c r="H240" t="s">
        <v>385</v>
      </c>
      <c r="J240" s="20">
        <v>600</v>
      </c>
    </row>
    <row r="242" spans="1:10">
      <c r="A242" s="2">
        <v>242188</v>
      </c>
      <c r="B242" s="7" t="s">
        <v>34</v>
      </c>
      <c r="C242" s="3" t="str">
        <f>VLOOKUP(B242,'Accounts chart'!$A:$B,2,FALSE)</f>
        <v>รายรับค่าส่วนกลาง</v>
      </c>
      <c r="D242" t="s">
        <v>803</v>
      </c>
      <c r="F242" t="s">
        <v>374</v>
      </c>
      <c r="G242" t="str">
        <f>VLOOKUP(F242,รายชื่อลูกบ้าน!$A:$B,2,FALSE)</f>
        <v>คุณเกียรติภูมิ วิรติภูมิ</v>
      </c>
      <c r="H242" t="s">
        <v>804</v>
      </c>
      <c r="I242" s="23">
        <v>7200</v>
      </c>
    </row>
    <row r="243" spans="1:10">
      <c r="A243" s="2">
        <v>242188</v>
      </c>
      <c r="B243" s="7" t="s">
        <v>4</v>
      </c>
      <c r="C243" s="3" t="str">
        <f>VLOOKUP(B243,'Accounts chart'!$A:$B,2,FALSE)</f>
        <v>ลูกหนี้ค่าส่วนกลาง</v>
      </c>
      <c r="D243" t="s">
        <v>803</v>
      </c>
      <c r="F243" t="s">
        <v>374</v>
      </c>
      <c r="G243" t="str">
        <f>VLOOKUP(F243,รายชื่อลูกบ้าน!$A:$B,2,FALSE)</f>
        <v>คุณเกียรติภูมิ วิรติภูมิ</v>
      </c>
      <c r="H243" t="s">
        <v>804</v>
      </c>
      <c r="J243" s="23">
        <v>7200</v>
      </c>
    </row>
    <row r="245" spans="1:10">
      <c r="A245" s="2">
        <v>242188</v>
      </c>
      <c r="B245" s="7" t="s">
        <v>46</v>
      </c>
      <c r="C245" s="3" t="str">
        <f>VLOOKUP(B245,'Accounts chart'!$A:$B,2,FALSE)</f>
        <v>ค่าดูแลส่วนกลาง</v>
      </c>
      <c r="D245" t="s">
        <v>959</v>
      </c>
      <c r="H245" t="s">
        <v>960</v>
      </c>
      <c r="I245" s="23">
        <v>15000</v>
      </c>
    </row>
    <row r="246" spans="1:10">
      <c r="A246" s="2">
        <v>242188</v>
      </c>
      <c r="B246" s="7" t="s">
        <v>48</v>
      </c>
      <c r="C246" s="3" t="str">
        <f>VLOOKUP(B246,'Accounts chart'!$A:$B,2,FALSE)</f>
        <v>ค่ารักษาความปลอดภัย</v>
      </c>
      <c r="D246" t="s">
        <v>959</v>
      </c>
      <c r="H246" t="s">
        <v>960</v>
      </c>
      <c r="I246" s="23">
        <v>38233.18</v>
      </c>
    </row>
    <row r="247" spans="1:10">
      <c r="A247" s="2">
        <v>242188</v>
      </c>
      <c r="B247" s="7" t="s">
        <v>50</v>
      </c>
      <c r="C247" s="3" t="str">
        <f>VLOOKUP(B247,'Accounts chart'!$A:$B,2,FALSE)</f>
        <v>ค่าเก็บขยะ</v>
      </c>
      <c r="D247" t="s">
        <v>959</v>
      </c>
      <c r="H247" t="s">
        <v>960</v>
      </c>
      <c r="I247" s="23">
        <v>3000</v>
      </c>
    </row>
    <row r="248" spans="1:10">
      <c r="A248" s="2">
        <v>242188</v>
      </c>
      <c r="B248" s="7" t="s">
        <v>52</v>
      </c>
      <c r="C248" s="3" t="str">
        <f>VLOOKUP(B248,'Accounts chart'!$A:$B,2,FALSE)</f>
        <v>ค่าบริการดูแลสระว่ายน้ำ</v>
      </c>
      <c r="D248" t="s">
        <v>959</v>
      </c>
      <c r="H248" t="s">
        <v>960</v>
      </c>
      <c r="I248" s="23">
        <v>7500</v>
      </c>
    </row>
    <row r="249" spans="1:10">
      <c r="A249" s="2">
        <v>242188</v>
      </c>
      <c r="B249" s="7" t="s">
        <v>54</v>
      </c>
      <c r="C249" s="3" t="str">
        <f>VLOOKUP(B249,'Accounts chart'!$A:$B,2,FALSE)</f>
        <v>ค่าไฟฟ้า</v>
      </c>
      <c r="D249" t="s">
        <v>959</v>
      </c>
      <c r="H249" t="s">
        <v>960</v>
      </c>
      <c r="I249" s="23">
        <v>4863.82</v>
      </c>
    </row>
    <row r="250" spans="1:10">
      <c r="A250" s="2">
        <v>242188</v>
      </c>
      <c r="B250" s="7" t="s">
        <v>22</v>
      </c>
      <c r="C250" s="3" t="str">
        <f>VLOOKUP(B250,'Accounts chart'!$A:$B,2,FALSE)</f>
        <v>ค่าดูแลส่วนกลางค้างจ่าย</v>
      </c>
      <c r="D250" t="s">
        <v>959</v>
      </c>
      <c r="H250" t="s">
        <v>960</v>
      </c>
      <c r="J250" s="23">
        <v>15000</v>
      </c>
    </row>
    <row r="251" spans="1:10">
      <c r="A251" s="2">
        <v>242188</v>
      </c>
      <c r="B251" s="7" t="s">
        <v>18</v>
      </c>
      <c r="C251" s="3" t="str">
        <f>VLOOKUP(B251,'Accounts chart'!$A:$B,2,FALSE)</f>
        <v>ค่ารักษาความปลอดภัยค้างจ่าย</v>
      </c>
      <c r="D251" t="s">
        <v>959</v>
      </c>
      <c r="H251" t="s">
        <v>960</v>
      </c>
      <c r="J251" s="23">
        <v>38233.18</v>
      </c>
    </row>
    <row r="252" spans="1:10">
      <c r="A252" s="2">
        <v>242188</v>
      </c>
      <c r="B252" s="7" t="s">
        <v>14</v>
      </c>
      <c r="C252" s="3" t="str">
        <f>VLOOKUP(B252,'Accounts chart'!$A:$B,2,FALSE)</f>
        <v>ค่าเก็บขยะค้างจ่าย</v>
      </c>
      <c r="D252" t="s">
        <v>959</v>
      </c>
      <c r="H252" t="s">
        <v>960</v>
      </c>
      <c r="J252" s="23">
        <v>3000</v>
      </c>
    </row>
    <row r="253" spans="1:10">
      <c r="A253" s="2">
        <v>242188</v>
      </c>
      <c r="B253" s="7" t="s">
        <v>16</v>
      </c>
      <c r="C253" s="3" t="str">
        <f>VLOOKUP(B253,'Accounts chart'!$A:$B,2,FALSE)</f>
        <v>ค่าบริการดูแลสระว่ายน้ำค้างจ่าย</v>
      </c>
      <c r="D253" t="s">
        <v>959</v>
      </c>
      <c r="H253" t="s">
        <v>960</v>
      </c>
      <c r="J253" s="23">
        <v>7500</v>
      </c>
    </row>
    <row r="254" spans="1:10">
      <c r="A254" s="2">
        <v>242188</v>
      </c>
      <c r="B254" s="7" t="s">
        <v>20</v>
      </c>
      <c r="C254" s="3" t="str">
        <f>VLOOKUP(B254,'Accounts chart'!$A:$B,2,FALSE)</f>
        <v>ค่าไฟฟ้าค้างจ่าย</v>
      </c>
      <c r="D254" t="s">
        <v>959</v>
      </c>
      <c r="H254" t="s">
        <v>960</v>
      </c>
      <c r="J254" s="23">
        <v>4863.82</v>
      </c>
    </row>
    <row r="257" spans="1:10">
      <c r="A257" s="2">
        <v>242189</v>
      </c>
      <c r="B257" s="7" t="s">
        <v>3</v>
      </c>
      <c r="C257" s="3" t="str">
        <f>VLOOKUP(B257,'Accounts chart'!$A:$B,2,FALSE)</f>
        <v>ธนาคารกสิกรไทย SA-040-1-56500-0</v>
      </c>
      <c r="D257" t="s">
        <v>724</v>
      </c>
      <c r="E257" t="s">
        <v>523</v>
      </c>
      <c r="F257" t="s">
        <v>207</v>
      </c>
      <c r="G257" t="str">
        <f>VLOOKUP(F257,รายชื่อลูกบ้าน!$A:$B,2,FALSE)</f>
        <v>คุณกิตติภูมิ กาญจนจิรวงศ์</v>
      </c>
      <c r="H257" t="s">
        <v>384</v>
      </c>
      <c r="I257" s="23">
        <v>600</v>
      </c>
    </row>
    <row r="258" spans="1:10">
      <c r="A258" s="2">
        <v>242189</v>
      </c>
      <c r="B258" s="7" t="s">
        <v>3</v>
      </c>
      <c r="C258" s="3" t="str">
        <f>VLOOKUP(B258,'Accounts chart'!$A:$B,2,FALSE)</f>
        <v>ธนาคารกสิกรไทย SA-040-1-56500-0</v>
      </c>
      <c r="D258" t="s">
        <v>724</v>
      </c>
      <c r="E258" t="s">
        <v>524</v>
      </c>
      <c r="F258" t="s">
        <v>233</v>
      </c>
      <c r="G258" t="str">
        <f>VLOOKUP(F258,รายชื่อลูกบ้าน!$A:$B,2,FALSE)</f>
        <v>คุณวิทยา วัดเข้าหลาม</v>
      </c>
      <c r="H258" t="s">
        <v>385</v>
      </c>
      <c r="I258" s="23">
        <v>600.80999999999995</v>
      </c>
    </row>
    <row r="259" spans="1:10">
      <c r="A259" s="2">
        <v>242189</v>
      </c>
      <c r="B259" s="7" t="s">
        <v>3</v>
      </c>
      <c r="C259" s="3" t="str">
        <f>VLOOKUP(B259,'Accounts chart'!$A:$B,2,FALSE)</f>
        <v>ธนาคารกสิกรไทย SA-040-1-56500-0</v>
      </c>
      <c r="D259" t="s">
        <v>724</v>
      </c>
      <c r="E259" t="s">
        <v>525</v>
      </c>
      <c r="F259" t="s">
        <v>69</v>
      </c>
      <c r="G259" t="str">
        <f>VLOOKUP(F259,รายชื่อลูกบ้าน!$A:$B,2,FALSE)</f>
        <v>คุณโกวิท-คุณศันสนีย์ รัตนมณี</v>
      </c>
      <c r="H259" t="s">
        <v>412</v>
      </c>
      <c r="I259" s="23">
        <v>1200</v>
      </c>
    </row>
    <row r="260" spans="1:10">
      <c r="A260" s="2">
        <v>242189</v>
      </c>
      <c r="B260" s="7" t="s">
        <v>3</v>
      </c>
      <c r="C260" s="3" t="str">
        <f>VLOOKUP(B260,'Accounts chart'!$A:$B,2,FALSE)</f>
        <v>ธนาคารกสิกรไทย SA-040-1-56500-0</v>
      </c>
      <c r="D260" t="s">
        <v>724</v>
      </c>
      <c r="E260" t="s">
        <v>526</v>
      </c>
      <c r="F260" t="s">
        <v>374</v>
      </c>
      <c r="G260" t="str">
        <f>VLOOKUP(F260,รายชื่อลูกบ้าน!$A:$B,2,FALSE)</f>
        <v>คุณเกียรติภูมิ วิรติภูมิ</v>
      </c>
      <c r="H260" t="s">
        <v>385</v>
      </c>
      <c r="I260" s="23">
        <v>600</v>
      </c>
    </row>
    <row r="261" spans="1:10">
      <c r="A261" s="2">
        <v>242189</v>
      </c>
      <c r="B261" s="7" t="s">
        <v>3</v>
      </c>
      <c r="C261" s="3" t="str">
        <f>VLOOKUP(B261,'Accounts chart'!$A:$B,2,FALSE)</f>
        <v>ธนาคารกสิกรไทย SA-040-1-56500-0</v>
      </c>
      <c r="D261" t="s">
        <v>724</v>
      </c>
      <c r="E261" t="s">
        <v>527</v>
      </c>
      <c r="F261" t="s">
        <v>364</v>
      </c>
      <c r="G261" t="str">
        <f>VLOOKUP(F261,รายชื่อลูกบ้าน!$A:$B,2,FALSE)</f>
        <v>คุณกิตติ แสวงภาค</v>
      </c>
      <c r="H261" t="s">
        <v>385</v>
      </c>
      <c r="I261" s="23">
        <v>600</v>
      </c>
    </row>
    <row r="262" spans="1:10">
      <c r="A262" s="2">
        <v>242189</v>
      </c>
      <c r="B262" s="7" t="s">
        <v>3</v>
      </c>
      <c r="C262" s="3" t="str">
        <f>VLOOKUP(B262,'Accounts chart'!$A:$B,2,FALSE)</f>
        <v>ธนาคารกสิกรไทย SA-040-1-56500-0</v>
      </c>
      <c r="D262" t="s">
        <v>724</v>
      </c>
      <c r="E262" t="s">
        <v>528</v>
      </c>
      <c r="F262" t="s">
        <v>350</v>
      </c>
      <c r="G262" t="str">
        <f>VLOOKUP(F262,รายชื่อลูกบ้าน!$A:$B,2,FALSE)</f>
        <v>คุณวรศิลป์ แก้วลังกา-คุณอรอนงค์ ตั้งเจริญวัฒนากูร</v>
      </c>
      <c r="H262" t="s">
        <v>383</v>
      </c>
      <c r="I262" s="23">
        <v>7000</v>
      </c>
    </row>
    <row r="263" spans="1:10">
      <c r="A263" s="2">
        <v>242189</v>
      </c>
      <c r="B263" s="7" t="s">
        <v>34</v>
      </c>
      <c r="C263" s="3" t="str">
        <f>VLOOKUP(B263,'Accounts chart'!$A:$B,2,FALSE)</f>
        <v>รายรับค่าส่วนกลาง</v>
      </c>
      <c r="D263" t="s">
        <v>724</v>
      </c>
      <c r="E263" t="s">
        <v>523</v>
      </c>
      <c r="F263" t="s">
        <v>207</v>
      </c>
      <c r="G263" t="str">
        <f>VLOOKUP(F263,รายชื่อลูกบ้าน!$A:$B,2,FALSE)</f>
        <v>คุณกิตติภูมิ กาญจนจิรวงศ์</v>
      </c>
      <c r="H263" t="s">
        <v>384</v>
      </c>
      <c r="J263" s="23">
        <v>600</v>
      </c>
    </row>
    <row r="264" spans="1:10">
      <c r="A264" s="2">
        <v>242189</v>
      </c>
      <c r="B264" s="7" t="s">
        <v>34</v>
      </c>
      <c r="C264" s="3" t="str">
        <f>VLOOKUP(B264,'Accounts chart'!$A:$B,2,FALSE)</f>
        <v>รายรับค่าส่วนกลาง</v>
      </c>
      <c r="D264" t="s">
        <v>724</v>
      </c>
      <c r="E264" t="s">
        <v>524</v>
      </c>
      <c r="F264" t="s">
        <v>233</v>
      </c>
      <c r="G264" t="str">
        <f>VLOOKUP(F264,รายชื่อลูกบ้าน!$A:$B,2,FALSE)</f>
        <v>คุณวิทยา วัดเข้าหลาม</v>
      </c>
      <c r="H264" t="s">
        <v>385</v>
      </c>
      <c r="J264" s="23">
        <v>600.80999999999995</v>
      </c>
    </row>
    <row r="265" spans="1:10">
      <c r="A265" s="2">
        <v>242189</v>
      </c>
      <c r="B265" s="7" t="s">
        <v>34</v>
      </c>
      <c r="C265" s="3" t="str">
        <f>VLOOKUP(B265,'Accounts chart'!$A:$B,2,FALSE)</f>
        <v>รายรับค่าส่วนกลาง</v>
      </c>
      <c r="D265" t="s">
        <v>724</v>
      </c>
      <c r="E265" t="s">
        <v>525</v>
      </c>
      <c r="F265" t="s">
        <v>69</v>
      </c>
      <c r="G265" t="str">
        <f>VLOOKUP(F265,รายชื่อลูกบ้าน!$A:$B,2,FALSE)</f>
        <v>คุณโกวิท-คุณศันสนีย์ รัตนมณี</v>
      </c>
      <c r="H265" t="s">
        <v>412</v>
      </c>
      <c r="J265" s="23">
        <v>1200</v>
      </c>
    </row>
    <row r="266" spans="1:10">
      <c r="A266" s="2">
        <v>242189</v>
      </c>
      <c r="B266" s="7" t="s">
        <v>34</v>
      </c>
      <c r="C266" s="3" t="str">
        <f>VLOOKUP(B266,'Accounts chart'!$A:$B,2,FALSE)</f>
        <v>รายรับค่าส่วนกลาง</v>
      </c>
      <c r="D266" t="s">
        <v>724</v>
      </c>
      <c r="E266" t="s">
        <v>526</v>
      </c>
      <c r="F266" t="s">
        <v>374</v>
      </c>
      <c r="G266" t="str">
        <f>VLOOKUP(F266,รายชื่อลูกบ้าน!$A:$B,2,FALSE)</f>
        <v>คุณเกียรติภูมิ วิรติภูมิ</v>
      </c>
      <c r="H266" t="s">
        <v>385</v>
      </c>
      <c r="J266" s="23">
        <v>600</v>
      </c>
    </row>
    <row r="267" spans="1:10">
      <c r="A267" s="2">
        <v>242189</v>
      </c>
      <c r="B267" s="7" t="s">
        <v>34</v>
      </c>
      <c r="C267" s="3" t="str">
        <f>VLOOKUP(B267,'Accounts chart'!$A:$B,2,FALSE)</f>
        <v>รายรับค่าส่วนกลาง</v>
      </c>
      <c r="D267" t="s">
        <v>724</v>
      </c>
      <c r="E267" t="s">
        <v>527</v>
      </c>
      <c r="F267" t="s">
        <v>364</v>
      </c>
      <c r="G267" t="str">
        <f>VLOOKUP(F267,รายชื่อลูกบ้าน!$A:$B,2,FALSE)</f>
        <v>คุณกิตติ แสวงภาค</v>
      </c>
      <c r="H267" t="s">
        <v>385</v>
      </c>
      <c r="J267" s="23">
        <v>600</v>
      </c>
    </row>
    <row r="268" spans="1:10">
      <c r="A268" s="2">
        <v>242189</v>
      </c>
      <c r="B268" s="7" t="s">
        <v>34</v>
      </c>
      <c r="C268" s="3" t="str">
        <f>VLOOKUP(B268,'Accounts chart'!$A:$B,2,FALSE)</f>
        <v>รายรับค่าส่วนกลาง</v>
      </c>
      <c r="D268" t="s">
        <v>724</v>
      </c>
      <c r="E268" t="s">
        <v>528</v>
      </c>
      <c r="F268" t="s">
        <v>350</v>
      </c>
      <c r="G268" t="str">
        <f>VLOOKUP(F268,รายชื่อลูกบ้าน!$A:$B,2,FALSE)</f>
        <v>คุณวรศิลป์ แก้วลังกา-คุณอรอนงค์ ตั้งเจริญวัฒนากูร</v>
      </c>
      <c r="H268" t="s">
        <v>383</v>
      </c>
      <c r="J268" s="23">
        <v>7000</v>
      </c>
    </row>
    <row r="269" spans="1:10">
      <c r="A269" s="2"/>
    </row>
    <row r="270" spans="1:10">
      <c r="A270" s="2"/>
    </row>
    <row r="271" spans="1:10">
      <c r="A271" s="2">
        <v>242190</v>
      </c>
      <c r="B271" s="7" t="s">
        <v>3</v>
      </c>
      <c r="C271" s="3" t="str">
        <f>VLOOKUP(B271,'Accounts chart'!$A:$B,2,FALSE)</f>
        <v>ธนาคารกสิกรไทย SA-040-1-56500-0</v>
      </c>
      <c r="D271" t="s">
        <v>725</v>
      </c>
      <c r="E271" t="s">
        <v>529</v>
      </c>
      <c r="F271" t="s">
        <v>337</v>
      </c>
      <c r="G271" t="str">
        <f>VLOOKUP(F271,รายชื่อลูกบ้าน!$A:$B,2,FALSE)</f>
        <v>คุณพงศกร-คุณปิยะพร ปาเลิง</v>
      </c>
      <c r="H271" t="s">
        <v>413</v>
      </c>
      <c r="I271" s="23">
        <v>600</v>
      </c>
    </row>
    <row r="272" spans="1:10">
      <c r="A272" s="2">
        <v>242190</v>
      </c>
      <c r="B272" s="7" t="s">
        <v>3</v>
      </c>
      <c r="C272" s="3" t="str">
        <f>VLOOKUP(B272,'Accounts chart'!$A:$B,2,FALSE)</f>
        <v>ธนาคารกสิกรไทย SA-040-1-56500-0</v>
      </c>
      <c r="D272" t="s">
        <v>725</v>
      </c>
      <c r="E272" t="s">
        <v>530</v>
      </c>
      <c r="F272" t="s">
        <v>337</v>
      </c>
      <c r="G272" t="str">
        <f>VLOOKUP(F272,รายชื่อลูกบ้าน!$A:$B,2,FALSE)</f>
        <v>คุณพงศกร-คุณปิยะพร ปาเลิง</v>
      </c>
      <c r="H272" t="s">
        <v>414</v>
      </c>
      <c r="I272" s="23">
        <v>7200</v>
      </c>
    </row>
    <row r="273" spans="1:10">
      <c r="A273" s="2">
        <v>242190</v>
      </c>
      <c r="B273" s="7" t="s">
        <v>3</v>
      </c>
      <c r="C273" s="3" t="str">
        <f>VLOOKUP(B273,'Accounts chart'!$A:$B,2,FALSE)</f>
        <v>ธนาคารกสิกรไทย SA-040-1-56500-0</v>
      </c>
      <c r="D273" t="s">
        <v>725</v>
      </c>
      <c r="E273" t="s">
        <v>531</v>
      </c>
      <c r="F273" t="s">
        <v>337</v>
      </c>
      <c r="G273" t="str">
        <f>VLOOKUP(F273,รายชื่อลูกบ้าน!$A:$B,2,FALSE)</f>
        <v>คุณพงศกร-คุณปิยะพร ปาเลิง</v>
      </c>
      <c r="H273" t="s">
        <v>415</v>
      </c>
      <c r="I273" s="23">
        <v>1200</v>
      </c>
    </row>
    <row r="274" spans="1:10">
      <c r="A274" s="2">
        <v>242190</v>
      </c>
      <c r="B274" s="7" t="s">
        <v>3</v>
      </c>
      <c r="C274" s="3" t="str">
        <f>VLOOKUP(B274,'Accounts chart'!$A:$B,2,FALSE)</f>
        <v>ธนาคารกสิกรไทย SA-040-1-56500-0</v>
      </c>
      <c r="D274" t="s">
        <v>725</v>
      </c>
      <c r="E274" t="s">
        <v>532</v>
      </c>
      <c r="F274" t="s">
        <v>213</v>
      </c>
      <c r="G274" t="str">
        <f>VLOOKUP(F274,รายชื่อลูกบ้าน!$A:$B,2,FALSE)</f>
        <v>คุณรัฐพล สุวรรณ</v>
      </c>
      <c r="H274" t="s">
        <v>384</v>
      </c>
      <c r="I274" s="23">
        <v>600</v>
      </c>
    </row>
    <row r="275" spans="1:10">
      <c r="A275" s="2">
        <v>242190</v>
      </c>
      <c r="B275" s="7" t="s">
        <v>3</v>
      </c>
      <c r="C275" s="3" t="str">
        <f>VLOOKUP(B275,'Accounts chart'!$A:$B,2,FALSE)</f>
        <v>ธนาคารกสิกรไทย SA-040-1-56500-0</v>
      </c>
      <c r="D275" t="s">
        <v>725</v>
      </c>
      <c r="E275" t="s">
        <v>533</v>
      </c>
      <c r="F275" t="s">
        <v>262</v>
      </c>
      <c r="G275" t="str">
        <f>VLOOKUP(F275,รายชื่อลูกบ้าน!$A:$B,2,FALSE)</f>
        <v>คุณวินัย-คุณนุชนาฎ ลิ้มบุพศิริพร</v>
      </c>
      <c r="H275" t="s">
        <v>383</v>
      </c>
      <c r="I275" s="23">
        <v>7200</v>
      </c>
    </row>
    <row r="276" spans="1:10">
      <c r="A276" s="2">
        <v>242190</v>
      </c>
      <c r="B276" s="7" t="s">
        <v>3</v>
      </c>
      <c r="C276" s="3" t="str">
        <f>VLOOKUP(B276,'Accounts chart'!$A:$B,2,FALSE)</f>
        <v>ธนาคารกสิกรไทย SA-040-1-56500-0</v>
      </c>
      <c r="D276" t="s">
        <v>725</v>
      </c>
      <c r="E276" t="s">
        <v>534</v>
      </c>
      <c r="F276" t="s">
        <v>271</v>
      </c>
      <c r="G276" t="str">
        <f>VLOOKUP(F276,รายชื่อลูกบ้าน!$A:$B,2,FALSE)</f>
        <v>คุณรัสรินทร์ ปัญญาส่งสวัสดิ์</v>
      </c>
      <c r="H276" t="s">
        <v>415</v>
      </c>
      <c r="I276" s="23">
        <v>1200</v>
      </c>
    </row>
    <row r="277" spans="1:10">
      <c r="A277" s="2">
        <v>242190</v>
      </c>
      <c r="B277" s="7" t="s">
        <v>3</v>
      </c>
      <c r="C277" s="3" t="str">
        <f>VLOOKUP(B277,'Accounts chart'!$A:$B,2,FALSE)</f>
        <v>ธนาคารกสิกรไทย SA-040-1-56500-0</v>
      </c>
      <c r="D277" t="s">
        <v>725</v>
      </c>
      <c r="E277" t="s">
        <v>535</v>
      </c>
      <c r="F277" t="s">
        <v>132</v>
      </c>
      <c r="G277" t="str">
        <f>VLOOKUP(F277,รายชื่อลูกบ้าน!$A:$B,2,FALSE)</f>
        <v>คุณสมหมาย เงินสมบัติ</v>
      </c>
      <c r="H277" t="s">
        <v>416</v>
      </c>
      <c r="I277" s="23">
        <v>1200</v>
      </c>
    </row>
    <row r="278" spans="1:10">
      <c r="A278" s="2">
        <v>242190</v>
      </c>
      <c r="B278" s="7" t="s">
        <v>3</v>
      </c>
      <c r="C278" s="3" t="str">
        <f>VLOOKUP(B278,'Accounts chart'!$A:$B,2,FALSE)</f>
        <v>ธนาคารกสิกรไทย SA-040-1-56500-0</v>
      </c>
      <c r="D278" t="s">
        <v>725</v>
      </c>
      <c r="E278" t="s">
        <v>536</v>
      </c>
      <c r="F278" t="s">
        <v>185</v>
      </c>
      <c r="G278" t="str">
        <f>VLOOKUP(F278,รายชื่อลูกบ้าน!$A:$B,2,FALSE)</f>
        <v>คุณชาญชัย ตนะศุภผล</v>
      </c>
      <c r="H278" t="s">
        <v>385</v>
      </c>
      <c r="I278" s="23">
        <v>600</v>
      </c>
    </row>
    <row r="279" spans="1:10">
      <c r="A279" s="2">
        <v>242190</v>
      </c>
      <c r="B279" s="7" t="s">
        <v>3</v>
      </c>
      <c r="C279" s="3" t="str">
        <f>VLOOKUP(B279,'Accounts chart'!$A:$B,2,FALSE)</f>
        <v>ธนาคารกสิกรไทย SA-040-1-56500-0</v>
      </c>
      <c r="D279" t="s">
        <v>725</v>
      </c>
      <c r="E279" t="s">
        <v>537</v>
      </c>
      <c r="F279" t="s">
        <v>161</v>
      </c>
      <c r="G279" t="str">
        <f>VLOOKUP(F279,รายชื่อลูกบ้าน!$A:$B,2,FALSE)</f>
        <v>คุณพงษ์พัฒนา มาบุญ</v>
      </c>
      <c r="H279" t="s">
        <v>384</v>
      </c>
      <c r="I279" s="23">
        <v>600</v>
      </c>
    </row>
    <row r="280" spans="1:10">
      <c r="A280" s="2">
        <v>242190</v>
      </c>
      <c r="B280" s="7" t="s">
        <v>4</v>
      </c>
      <c r="C280" s="3" t="str">
        <f>VLOOKUP(B280,'Accounts chart'!$A:$B,2,FALSE)</f>
        <v>ลูกหนี้ค่าส่วนกลาง</v>
      </c>
      <c r="D280" t="s">
        <v>725</v>
      </c>
      <c r="E280" t="s">
        <v>529</v>
      </c>
      <c r="F280" t="s">
        <v>337</v>
      </c>
      <c r="G280" t="str">
        <f>VLOOKUP(F280,รายชื่อลูกบ้าน!$A:$B,2,FALSE)</f>
        <v>คุณพงศกร-คุณปิยะพร ปาเลิง</v>
      </c>
      <c r="H280" t="s">
        <v>413</v>
      </c>
      <c r="J280" s="23">
        <v>600</v>
      </c>
    </row>
    <row r="281" spans="1:10">
      <c r="A281" s="2">
        <v>242190</v>
      </c>
      <c r="B281" s="7" t="s">
        <v>4</v>
      </c>
      <c r="C281" s="3" t="str">
        <f>VLOOKUP(B281,'Accounts chart'!$A:$B,2,FALSE)</f>
        <v>ลูกหนี้ค่าส่วนกลาง</v>
      </c>
      <c r="D281" t="s">
        <v>725</v>
      </c>
      <c r="E281" t="s">
        <v>530</v>
      </c>
      <c r="F281" t="s">
        <v>337</v>
      </c>
      <c r="G281" t="str">
        <f>VLOOKUP(F281,รายชื่อลูกบ้าน!$A:$B,2,FALSE)</f>
        <v>คุณพงศกร-คุณปิยะพร ปาเลิง</v>
      </c>
      <c r="H281" t="s">
        <v>414</v>
      </c>
      <c r="J281" s="23">
        <v>7200</v>
      </c>
    </row>
    <row r="282" spans="1:10">
      <c r="A282" s="2">
        <v>242190</v>
      </c>
      <c r="B282" s="7" t="s">
        <v>34</v>
      </c>
      <c r="C282" s="3" t="str">
        <f>VLOOKUP(B282,'Accounts chart'!$A:$B,2,FALSE)</f>
        <v>รายรับค่าส่วนกลาง</v>
      </c>
      <c r="D282" t="s">
        <v>725</v>
      </c>
      <c r="E282" t="s">
        <v>531</v>
      </c>
      <c r="F282" t="s">
        <v>337</v>
      </c>
      <c r="G282" t="str">
        <f>VLOOKUP(F282,รายชื่อลูกบ้าน!$A:$B,2,FALSE)</f>
        <v>คุณพงศกร-คุณปิยะพร ปาเลิง</v>
      </c>
      <c r="H282" t="s">
        <v>415</v>
      </c>
      <c r="J282" s="23">
        <v>1200</v>
      </c>
    </row>
    <row r="283" spans="1:10">
      <c r="A283" s="2">
        <v>242190</v>
      </c>
      <c r="B283" s="7" t="s">
        <v>34</v>
      </c>
      <c r="C283" s="3" t="str">
        <f>VLOOKUP(B283,'Accounts chart'!$A:$B,2,FALSE)</f>
        <v>รายรับค่าส่วนกลาง</v>
      </c>
      <c r="D283" t="s">
        <v>725</v>
      </c>
      <c r="E283" t="s">
        <v>532</v>
      </c>
      <c r="F283" t="s">
        <v>213</v>
      </c>
      <c r="G283" t="str">
        <f>VLOOKUP(F283,รายชื่อลูกบ้าน!$A:$B,2,FALSE)</f>
        <v>คุณรัฐพล สุวรรณ</v>
      </c>
      <c r="H283" t="s">
        <v>384</v>
      </c>
      <c r="J283" s="23">
        <v>600</v>
      </c>
    </row>
    <row r="284" spans="1:10">
      <c r="A284" s="2">
        <v>242190</v>
      </c>
      <c r="B284" s="7" t="s">
        <v>34</v>
      </c>
      <c r="C284" s="3" t="str">
        <f>VLOOKUP(B284,'Accounts chart'!$A:$B,2,FALSE)</f>
        <v>รายรับค่าส่วนกลาง</v>
      </c>
      <c r="D284" t="s">
        <v>725</v>
      </c>
      <c r="E284" t="s">
        <v>533</v>
      </c>
      <c r="F284" t="s">
        <v>262</v>
      </c>
      <c r="G284" t="str">
        <f>VLOOKUP(F284,รายชื่อลูกบ้าน!$A:$B,2,FALSE)</f>
        <v>คุณวินัย-คุณนุชนาฎ ลิ้มบุพศิริพร</v>
      </c>
      <c r="H284" t="s">
        <v>383</v>
      </c>
      <c r="J284" s="23">
        <v>7200</v>
      </c>
    </row>
    <row r="285" spans="1:10">
      <c r="A285" s="2">
        <v>242190</v>
      </c>
      <c r="B285" s="7" t="s">
        <v>34</v>
      </c>
      <c r="C285" s="3" t="str">
        <f>VLOOKUP(B285,'Accounts chart'!$A:$B,2,FALSE)</f>
        <v>รายรับค่าส่วนกลาง</v>
      </c>
      <c r="D285" t="s">
        <v>725</v>
      </c>
      <c r="E285" t="s">
        <v>534</v>
      </c>
      <c r="F285" t="s">
        <v>271</v>
      </c>
      <c r="G285" t="str">
        <f>VLOOKUP(F285,รายชื่อลูกบ้าน!$A:$B,2,FALSE)</f>
        <v>คุณรัสรินทร์ ปัญญาส่งสวัสดิ์</v>
      </c>
      <c r="H285" t="s">
        <v>415</v>
      </c>
      <c r="J285" s="23">
        <v>1200</v>
      </c>
    </row>
    <row r="286" spans="1:10">
      <c r="A286" s="2">
        <v>242190</v>
      </c>
      <c r="B286" s="7" t="s">
        <v>4</v>
      </c>
      <c r="C286" s="3" t="str">
        <f>VLOOKUP(B286,'Accounts chart'!$A:$B,2,FALSE)</f>
        <v>ลูกหนี้ค่าส่วนกลาง</v>
      </c>
      <c r="D286" t="s">
        <v>725</v>
      </c>
      <c r="E286" t="s">
        <v>535</v>
      </c>
      <c r="F286" t="s">
        <v>132</v>
      </c>
      <c r="G286" t="str">
        <f>VLOOKUP(F286,รายชื่อลูกบ้าน!$A:$B,2,FALSE)</f>
        <v>คุณสมหมาย เงินสมบัติ</v>
      </c>
      <c r="H286" t="s">
        <v>425</v>
      </c>
      <c r="J286" s="23">
        <v>600</v>
      </c>
    </row>
    <row r="287" spans="1:10">
      <c r="A287" s="2">
        <v>242190</v>
      </c>
      <c r="B287" s="7" t="s">
        <v>34</v>
      </c>
      <c r="C287" s="3" t="str">
        <f>VLOOKUP(B287,'Accounts chart'!$A:$B,2,FALSE)</f>
        <v>รายรับค่าส่วนกลาง</v>
      </c>
      <c r="D287" t="s">
        <v>725</v>
      </c>
      <c r="E287" t="s">
        <v>536</v>
      </c>
      <c r="F287" t="s">
        <v>132</v>
      </c>
      <c r="G287" t="str">
        <f>VLOOKUP(F287,รายชื่อลูกบ้าน!$A:$B,2,FALSE)</f>
        <v>คุณสมหมาย เงินสมบัติ</v>
      </c>
      <c r="H287" t="s">
        <v>426</v>
      </c>
      <c r="J287" s="23">
        <v>600</v>
      </c>
    </row>
    <row r="288" spans="1:10">
      <c r="A288" s="2">
        <v>242190</v>
      </c>
      <c r="B288" s="7" t="s">
        <v>34</v>
      </c>
      <c r="C288" s="3" t="str">
        <f>VLOOKUP(B288,'Accounts chart'!$A:$B,2,FALSE)</f>
        <v>รายรับค่าส่วนกลาง</v>
      </c>
      <c r="D288" t="s">
        <v>725</v>
      </c>
      <c r="E288" t="s">
        <v>537</v>
      </c>
      <c r="F288" t="s">
        <v>185</v>
      </c>
      <c r="G288" t="str">
        <f>VLOOKUP(F288,รายชื่อลูกบ้าน!$A:$B,2,FALSE)</f>
        <v>คุณชาญชัย ตนะศุภผล</v>
      </c>
      <c r="H288" t="s">
        <v>385</v>
      </c>
      <c r="J288" s="23">
        <v>600</v>
      </c>
    </row>
    <row r="289" spans="1:10">
      <c r="A289" s="2">
        <v>242190</v>
      </c>
      <c r="B289" s="7" t="s">
        <v>34</v>
      </c>
      <c r="C289" s="3" t="str">
        <f>VLOOKUP(B289,'Accounts chart'!$A:$B,2,FALSE)</f>
        <v>รายรับค่าส่วนกลาง</v>
      </c>
      <c r="D289" t="s">
        <v>725</v>
      </c>
      <c r="F289" t="s">
        <v>161</v>
      </c>
      <c r="G289" t="str">
        <f>VLOOKUP(F289,รายชื่อลูกบ้าน!$A:$B,2,FALSE)</f>
        <v>คุณพงษ์พัฒนา มาบุญ</v>
      </c>
      <c r="H289" t="s">
        <v>384</v>
      </c>
      <c r="J289" s="23">
        <v>600</v>
      </c>
    </row>
    <row r="290" spans="1:10">
      <c r="A290" s="2"/>
    </row>
    <row r="291" spans="1:10">
      <c r="A291" s="2"/>
    </row>
    <row r="292" spans="1:10">
      <c r="A292" s="2">
        <v>242191</v>
      </c>
      <c r="B292" s="7" t="s">
        <v>3</v>
      </c>
      <c r="C292" s="3" t="str">
        <f>VLOOKUP(B292,'Accounts chart'!$A:$B,2,FALSE)</f>
        <v>ธนาคารกสิกรไทย SA-040-1-56500-0</v>
      </c>
      <c r="D292" t="s">
        <v>726</v>
      </c>
      <c r="E292" t="s">
        <v>538</v>
      </c>
      <c r="F292" t="s">
        <v>109</v>
      </c>
      <c r="G292" t="str">
        <f>VLOOKUP(F292,รายชื่อลูกบ้าน!$A:$B,2,FALSE)</f>
        <v>คุณพัฒนชญา+คุณธิตินันท์ วงค์บุปผา</v>
      </c>
      <c r="H292" t="s">
        <v>385</v>
      </c>
      <c r="I292" s="23">
        <v>600</v>
      </c>
    </row>
    <row r="293" spans="1:10">
      <c r="A293" s="2">
        <v>242191</v>
      </c>
      <c r="B293" s="7" t="s">
        <v>3</v>
      </c>
      <c r="C293" s="3" t="str">
        <f>VLOOKUP(B293,'Accounts chart'!$A:$B,2,FALSE)</f>
        <v>ธนาคารกสิกรไทย SA-040-1-56500-0</v>
      </c>
      <c r="D293" t="s">
        <v>726</v>
      </c>
      <c r="E293" t="s">
        <v>539</v>
      </c>
      <c r="F293" t="s">
        <v>365</v>
      </c>
      <c r="G293" t="str">
        <f>VLOOKUP(F293,รายชื่อลูกบ้าน!$A:$B,2,FALSE)</f>
        <v>คุณสุริยา ใจมา</v>
      </c>
      <c r="H293" t="s">
        <v>385</v>
      </c>
      <c r="I293" s="23">
        <v>600</v>
      </c>
    </row>
    <row r="294" spans="1:10">
      <c r="A294" s="2">
        <v>242191</v>
      </c>
      <c r="B294" s="7" t="s">
        <v>3</v>
      </c>
      <c r="C294" s="3" t="str">
        <f>VLOOKUP(B294,'Accounts chart'!$A:$B,2,FALSE)</f>
        <v>ธนาคารกสิกรไทย SA-040-1-56500-0</v>
      </c>
      <c r="D294" t="s">
        <v>726</v>
      </c>
      <c r="E294" t="s">
        <v>540</v>
      </c>
      <c r="F294" t="s">
        <v>295</v>
      </c>
      <c r="G294" t="str">
        <f>VLOOKUP(F294,รายชื่อลูกบ้าน!$A:$B,2,FALSE)</f>
        <v>คุณภานุรังสิทธิ์-คุณภญาดา หมื่นจันทร์</v>
      </c>
      <c r="H294" t="s">
        <v>385</v>
      </c>
      <c r="I294" s="23">
        <v>600</v>
      </c>
    </row>
    <row r="295" spans="1:10">
      <c r="A295" s="2">
        <v>242191</v>
      </c>
      <c r="B295" s="7" t="s">
        <v>3</v>
      </c>
      <c r="C295" s="3" t="str">
        <f>VLOOKUP(B295,'Accounts chart'!$A:$B,2,FALSE)</f>
        <v>ธนาคารกสิกรไทย SA-040-1-56500-0</v>
      </c>
      <c r="D295" t="s">
        <v>726</v>
      </c>
      <c r="E295" t="s">
        <v>541</v>
      </c>
      <c r="F295" t="s">
        <v>313</v>
      </c>
      <c r="G295" t="str">
        <f>VLOOKUP(F295,รายชื่อลูกบ้าน!$A:$B,2,FALSE)</f>
        <v>คุณภานุมาศ ธนาธรศิริยุทธ์</v>
      </c>
      <c r="H295" t="s">
        <v>415</v>
      </c>
      <c r="I295" s="23">
        <v>1200.01</v>
      </c>
    </row>
    <row r="296" spans="1:10">
      <c r="A296" s="2">
        <v>242191</v>
      </c>
      <c r="B296" s="7" t="s">
        <v>3</v>
      </c>
      <c r="C296" s="3" t="str">
        <f>VLOOKUP(B296,'Accounts chart'!$A:$B,2,FALSE)</f>
        <v>ธนาคารกสิกรไทย SA-040-1-56500-0</v>
      </c>
      <c r="D296" t="s">
        <v>726</v>
      </c>
      <c r="E296" t="s">
        <v>542</v>
      </c>
      <c r="F296" t="s">
        <v>74</v>
      </c>
      <c r="G296" t="str">
        <f>VLOOKUP(F296,รายชื่อลูกบ้าน!$A:$B,2,FALSE)</f>
        <v>คุณคมกฤษณ์ เรืองเพ็ง</v>
      </c>
      <c r="H296" t="s">
        <v>385</v>
      </c>
      <c r="I296" s="23">
        <v>600</v>
      </c>
    </row>
    <row r="297" spans="1:10">
      <c r="A297" s="2">
        <v>242191</v>
      </c>
      <c r="B297" s="7" t="s">
        <v>3</v>
      </c>
      <c r="C297" s="3" t="str">
        <f>VLOOKUP(B297,'Accounts chart'!$A:$B,2,FALSE)</f>
        <v>ธนาคารกสิกรไทย SA-040-1-56500-0</v>
      </c>
      <c r="D297" t="s">
        <v>726</v>
      </c>
      <c r="E297" t="s">
        <v>543</v>
      </c>
      <c r="F297" t="s">
        <v>339</v>
      </c>
      <c r="G297" t="str">
        <f>VLOOKUP(F297,รายชื่อลูกบ้าน!$A:$B,2,FALSE)</f>
        <v>คุณภควัต สันหนองเมือง</v>
      </c>
      <c r="H297" t="s">
        <v>384</v>
      </c>
      <c r="I297" s="23">
        <v>600</v>
      </c>
    </row>
    <row r="298" spans="1:10">
      <c r="A298" s="2">
        <v>242191</v>
      </c>
      <c r="B298" s="7" t="s">
        <v>3</v>
      </c>
      <c r="C298" s="3" t="str">
        <f>VLOOKUP(B298,'Accounts chart'!$A:$B,2,FALSE)</f>
        <v>ธนาคารกสิกรไทย SA-040-1-56500-0</v>
      </c>
      <c r="D298" t="s">
        <v>726</v>
      </c>
      <c r="E298" t="s">
        <v>544</v>
      </c>
      <c r="F298" t="s">
        <v>217</v>
      </c>
      <c r="G298" t="str">
        <f>VLOOKUP(F298,รายชื่อลูกบ้าน!$A:$B,2,FALSE)</f>
        <v>คุณสรรชัย-คุณโสภณ สายยศ</v>
      </c>
      <c r="H298" t="s">
        <v>417</v>
      </c>
      <c r="I298" s="23">
        <v>3600</v>
      </c>
    </row>
    <row r="299" spans="1:10">
      <c r="A299" s="25">
        <v>242191</v>
      </c>
      <c r="B299" s="26" t="s">
        <v>3</v>
      </c>
      <c r="C299" s="27" t="str">
        <f>VLOOKUP(B299,'Accounts chart'!$A:$B,2,FALSE)</f>
        <v>ธนาคารกสิกรไทย SA-040-1-56500-0</v>
      </c>
      <c r="D299" s="4" t="s">
        <v>726</v>
      </c>
      <c r="E299" s="4" t="s">
        <v>545</v>
      </c>
      <c r="F299" s="4"/>
      <c r="G299" s="4" t="e">
        <f>VLOOKUP(F299,รายชื่อลูกบ้าน!$A:$B,2,FALSE)</f>
        <v>#N/A</v>
      </c>
      <c r="H299" s="4" t="s">
        <v>385</v>
      </c>
      <c r="I299" s="28">
        <v>600</v>
      </c>
      <c r="J299" s="28"/>
    </row>
    <row r="300" spans="1:10">
      <c r="A300" s="2">
        <v>242191</v>
      </c>
      <c r="B300" s="7" t="s">
        <v>3</v>
      </c>
      <c r="C300" s="3" t="str">
        <f>VLOOKUP(B300,'Accounts chart'!$A:$B,2,FALSE)</f>
        <v>ธนาคารกสิกรไทย SA-040-1-56500-0</v>
      </c>
      <c r="D300" t="s">
        <v>726</v>
      </c>
      <c r="E300" t="s">
        <v>971</v>
      </c>
      <c r="F300" t="s">
        <v>273</v>
      </c>
      <c r="G300" t="str">
        <f>VLOOKUP(F300,รายชื่อลูกบ้าน!$A:$B,2,FALSE)</f>
        <v>คุณนฤมล-คุณสัญญา คำภิลัง คุณชัยญา สิงห์ระกุล</v>
      </c>
      <c r="H300" t="s">
        <v>972</v>
      </c>
      <c r="I300" s="20">
        <v>7000</v>
      </c>
      <c r="J300" s="20"/>
    </row>
    <row r="301" spans="1:10">
      <c r="A301" s="2">
        <v>242191</v>
      </c>
      <c r="B301" s="7" t="s">
        <v>34</v>
      </c>
      <c r="C301" s="3" t="str">
        <f>VLOOKUP(B301,'Accounts chart'!$A:$B,2,FALSE)</f>
        <v>รายรับค่าส่วนกลาง</v>
      </c>
      <c r="D301" t="s">
        <v>726</v>
      </c>
      <c r="E301" t="s">
        <v>538</v>
      </c>
      <c r="F301" t="s">
        <v>109</v>
      </c>
      <c r="G301" t="str">
        <f>VLOOKUP(F301,รายชื่อลูกบ้าน!$A:$B,2,FALSE)</f>
        <v>คุณพัฒนชญา+คุณธิตินันท์ วงค์บุปผา</v>
      </c>
      <c r="H301" t="s">
        <v>385</v>
      </c>
      <c r="J301" s="23">
        <v>600</v>
      </c>
    </row>
    <row r="302" spans="1:10">
      <c r="A302" s="2">
        <v>242191</v>
      </c>
      <c r="B302" s="7" t="s">
        <v>34</v>
      </c>
      <c r="C302" s="3" t="str">
        <f>VLOOKUP(B302,'Accounts chart'!$A:$B,2,FALSE)</f>
        <v>รายรับค่าส่วนกลาง</v>
      </c>
      <c r="D302" t="s">
        <v>726</v>
      </c>
      <c r="E302" t="s">
        <v>539</v>
      </c>
      <c r="F302" t="s">
        <v>365</v>
      </c>
      <c r="G302" t="str">
        <f>VLOOKUP(F302,รายชื่อลูกบ้าน!$A:$B,2,FALSE)</f>
        <v>คุณสุริยา ใจมา</v>
      </c>
      <c r="H302" t="s">
        <v>385</v>
      </c>
      <c r="J302" s="23">
        <v>600</v>
      </c>
    </row>
    <row r="303" spans="1:10">
      <c r="A303" s="2">
        <v>242191</v>
      </c>
      <c r="B303" s="7" t="s">
        <v>34</v>
      </c>
      <c r="C303" s="3" t="str">
        <f>VLOOKUP(B303,'Accounts chart'!$A:$B,2,FALSE)</f>
        <v>รายรับค่าส่วนกลาง</v>
      </c>
      <c r="D303" t="s">
        <v>726</v>
      </c>
      <c r="E303" t="s">
        <v>540</v>
      </c>
      <c r="F303" t="s">
        <v>295</v>
      </c>
      <c r="G303" t="str">
        <f>VLOOKUP(F303,รายชื่อลูกบ้าน!$A:$B,2,FALSE)</f>
        <v>คุณภานุรังสิทธิ์-คุณภญาดา หมื่นจันทร์</v>
      </c>
      <c r="H303" t="s">
        <v>385</v>
      </c>
      <c r="J303" s="23">
        <v>600</v>
      </c>
    </row>
    <row r="304" spans="1:10">
      <c r="A304" s="2">
        <v>242191</v>
      </c>
      <c r="B304" s="7" t="s">
        <v>34</v>
      </c>
      <c r="C304" s="3" t="str">
        <f>VLOOKUP(B304,'Accounts chart'!$A:$B,2,FALSE)</f>
        <v>รายรับค่าส่วนกลาง</v>
      </c>
      <c r="D304" t="s">
        <v>726</v>
      </c>
      <c r="E304" t="s">
        <v>541</v>
      </c>
      <c r="F304" t="s">
        <v>313</v>
      </c>
      <c r="G304" t="str">
        <f>VLOOKUP(F304,รายชื่อลูกบ้าน!$A:$B,2,FALSE)</f>
        <v>คุณภานุมาศ ธนาธรศิริยุทธ์</v>
      </c>
      <c r="H304" t="s">
        <v>415</v>
      </c>
      <c r="J304" s="23">
        <v>1200.01</v>
      </c>
    </row>
    <row r="305" spans="1:10">
      <c r="A305" s="2">
        <v>242191</v>
      </c>
      <c r="B305" s="7" t="s">
        <v>34</v>
      </c>
      <c r="C305" s="3" t="str">
        <f>VLOOKUP(B305,'Accounts chart'!$A:$B,2,FALSE)</f>
        <v>รายรับค่าส่วนกลาง</v>
      </c>
      <c r="D305" t="s">
        <v>726</v>
      </c>
      <c r="E305" t="s">
        <v>542</v>
      </c>
      <c r="F305" t="s">
        <v>74</v>
      </c>
      <c r="G305" t="str">
        <f>VLOOKUP(F305,รายชื่อลูกบ้าน!$A:$B,2,FALSE)</f>
        <v>คุณคมกฤษณ์ เรืองเพ็ง</v>
      </c>
      <c r="H305" t="s">
        <v>385</v>
      </c>
      <c r="J305" s="23">
        <v>600</v>
      </c>
    </row>
    <row r="306" spans="1:10">
      <c r="A306" s="2">
        <v>242191</v>
      </c>
      <c r="B306" s="7" t="s">
        <v>34</v>
      </c>
      <c r="C306" s="3" t="str">
        <f>VLOOKUP(B306,'Accounts chart'!$A:$B,2,FALSE)</f>
        <v>รายรับค่าส่วนกลาง</v>
      </c>
      <c r="D306" t="s">
        <v>726</v>
      </c>
      <c r="E306" t="s">
        <v>543</v>
      </c>
      <c r="F306" t="s">
        <v>339</v>
      </c>
      <c r="G306" t="str">
        <f>VLOOKUP(F306,รายชื่อลูกบ้าน!$A:$B,2,FALSE)</f>
        <v>คุณภควัต สันหนองเมือง</v>
      </c>
      <c r="H306" t="s">
        <v>384</v>
      </c>
      <c r="J306" s="23">
        <v>600</v>
      </c>
    </row>
    <row r="307" spans="1:10">
      <c r="A307" s="2">
        <v>242191</v>
      </c>
      <c r="B307" s="7" t="s">
        <v>34</v>
      </c>
      <c r="C307" s="3" t="str">
        <f>VLOOKUP(B307,'Accounts chart'!$A:$B,2,FALSE)</f>
        <v>รายรับค่าส่วนกลาง</v>
      </c>
      <c r="D307" t="s">
        <v>726</v>
      </c>
      <c r="E307" t="s">
        <v>544</v>
      </c>
      <c r="F307" t="s">
        <v>217</v>
      </c>
      <c r="G307" t="str">
        <f>VLOOKUP(F307,รายชื่อลูกบ้าน!$A:$B,2,FALSE)</f>
        <v>คุณสรรชัย-คุณโสภณ สายยศ</v>
      </c>
      <c r="H307" t="s">
        <v>417</v>
      </c>
      <c r="J307" s="23">
        <v>3600</v>
      </c>
    </row>
    <row r="308" spans="1:10">
      <c r="A308" s="25">
        <v>242191</v>
      </c>
      <c r="B308" s="26" t="s">
        <v>26</v>
      </c>
      <c r="C308" s="27" t="str">
        <f>VLOOKUP(B308,'Accounts chart'!$A:$B,2,FALSE)</f>
        <v>รายได้ค่าส่วนกลางไม่ทราบชือ</v>
      </c>
      <c r="D308" s="4" t="s">
        <v>726</v>
      </c>
      <c r="E308" s="4" t="s">
        <v>545</v>
      </c>
      <c r="F308" s="4"/>
      <c r="G308" s="4" t="e">
        <f>VLOOKUP(F308,รายชื่อลูกบ้าน!$A:$B,2,FALSE)</f>
        <v>#N/A</v>
      </c>
      <c r="H308" s="4" t="s">
        <v>385</v>
      </c>
      <c r="I308" s="28"/>
      <c r="J308" s="28">
        <v>600</v>
      </c>
    </row>
    <row r="309" spans="1:10">
      <c r="A309" s="2">
        <v>242191</v>
      </c>
      <c r="B309" s="7" t="s">
        <v>34</v>
      </c>
      <c r="C309" s="3" t="str">
        <f>VLOOKUP(B309,'Accounts chart'!$A:$B,2,FALSE)</f>
        <v>รายรับค่าส่วนกลาง</v>
      </c>
      <c r="D309" t="s">
        <v>726</v>
      </c>
      <c r="E309" t="s">
        <v>971</v>
      </c>
      <c r="F309" t="s">
        <v>273</v>
      </c>
      <c r="G309" t="s">
        <v>274</v>
      </c>
      <c r="H309" t="s">
        <v>972</v>
      </c>
      <c r="J309" s="23">
        <v>7000</v>
      </c>
    </row>
    <row r="310" spans="1:10">
      <c r="A310" s="2"/>
      <c r="C310" s="3"/>
    </row>
    <row r="311" spans="1:10">
      <c r="A311" s="2">
        <v>242193</v>
      </c>
      <c r="B311" s="7" t="s">
        <v>3</v>
      </c>
      <c r="C311" s="3" t="str">
        <f>VLOOKUP(B311,'Accounts chart'!$A:$B,2,FALSE)</f>
        <v>ธนาคารกสิกรไทย SA-040-1-56500-0</v>
      </c>
      <c r="D311" t="s">
        <v>727</v>
      </c>
      <c r="E311" t="s">
        <v>546</v>
      </c>
      <c r="F311" t="s">
        <v>162</v>
      </c>
      <c r="G311" t="str">
        <f>VLOOKUP(F311,รายชื่อลูกบ้าน!$A:$B,2,FALSE)</f>
        <v>คุณศริตวรรธน์ ศรีวัฒนวรกุล</v>
      </c>
      <c r="H311" t="s">
        <v>385</v>
      </c>
      <c r="I311" s="23">
        <v>600</v>
      </c>
    </row>
    <row r="312" spans="1:10">
      <c r="A312" s="2">
        <v>242193</v>
      </c>
      <c r="B312" s="7" t="s">
        <v>3</v>
      </c>
      <c r="C312" s="3" t="str">
        <f>VLOOKUP(B312,'Accounts chart'!$A:$B,2,FALSE)</f>
        <v>ธนาคารกสิกรไทย SA-040-1-56500-0</v>
      </c>
      <c r="D312" t="s">
        <v>727</v>
      </c>
      <c r="E312" t="s">
        <v>547</v>
      </c>
      <c r="F312" t="s">
        <v>121</v>
      </c>
      <c r="G312" t="str">
        <f>VLOOKUP(F312,รายชื่อลูกบ้าน!$A:$B,2,FALSE)</f>
        <v>คุณสถิตย์ ปาระพิมพ์</v>
      </c>
      <c r="H312" t="s">
        <v>384</v>
      </c>
      <c r="I312" s="23">
        <v>600</v>
      </c>
    </row>
    <row r="313" spans="1:10">
      <c r="A313" s="2">
        <v>242193</v>
      </c>
      <c r="B313" s="7" t="s">
        <v>3</v>
      </c>
      <c r="C313" s="3" t="str">
        <f>VLOOKUP(B313,'Accounts chart'!$A:$B,2,FALSE)</f>
        <v>ธนาคารกสิกรไทย SA-040-1-56500-0</v>
      </c>
      <c r="D313" t="s">
        <v>727</v>
      </c>
      <c r="E313" t="s">
        <v>548</v>
      </c>
      <c r="F313" t="s">
        <v>87</v>
      </c>
      <c r="G313" t="str">
        <f>VLOOKUP(F313,รายชื่อลูกบ้าน!$A:$B,2,FALSE)</f>
        <v>คุณคงกฤษณ์ กาญจนพฤกษ์</v>
      </c>
      <c r="H313" t="s">
        <v>384</v>
      </c>
      <c r="I313" s="23">
        <v>600</v>
      </c>
    </row>
    <row r="314" spans="1:10">
      <c r="A314" s="25">
        <v>242193</v>
      </c>
      <c r="B314" s="26" t="s">
        <v>3</v>
      </c>
      <c r="C314" s="27" t="str">
        <f>VLOOKUP(B314,'Accounts chart'!$A:$B,2,FALSE)</f>
        <v>ธนาคารกสิกรไทย SA-040-1-56500-0</v>
      </c>
      <c r="D314" s="4" t="s">
        <v>727</v>
      </c>
      <c r="E314" s="4" t="s">
        <v>549</v>
      </c>
      <c r="F314" s="4" t="s">
        <v>410</v>
      </c>
      <c r="G314" s="4" t="e">
        <f>VLOOKUP(F314,รายชื่อลูกบ้าน!$A:$B,2,FALSE)</f>
        <v>#N/A</v>
      </c>
      <c r="H314" s="4" t="s">
        <v>418</v>
      </c>
      <c r="I314" s="28">
        <v>600</v>
      </c>
      <c r="J314" s="28"/>
    </row>
    <row r="315" spans="1:10">
      <c r="A315" s="2">
        <v>242193</v>
      </c>
      <c r="B315" s="7" t="s">
        <v>3</v>
      </c>
      <c r="C315" s="3" t="str">
        <f>VLOOKUP(B315,'Accounts chart'!$A:$B,2,FALSE)</f>
        <v>ธนาคารกสิกรไทย SA-040-1-56500-0</v>
      </c>
      <c r="D315" t="s">
        <v>727</v>
      </c>
      <c r="E315" t="s">
        <v>550</v>
      </c>
      <c r="F315" t="s">
        <v>205</v>
      </c>
      <c r="G315" t="str">
        <f>VLOOKUP(F315,รายชื่อลูกบ้าน!$A:$B,2,FALSE)</f>
        <v>คุณฬุริยา หิมะชาติ</v>
      </c>
      <c r="H315" t="s">
        <v>403</v>
      </c>
      <c r="I315" s="23">
        <v>1200</v>
      </c>
    </row>
    <row r="316" spans="1:10">
      <c r="A316" s="2">
        <v>242193</v>
      </c>
      <c r="B316" s="7" t="s">
        <v>3</v>
      </c>
      <c r="C316" s="3" t="str">
        <f>VLOOKUP(B316,'Accounts chart'!$A:$B,2,FALSE)</f>
        <v>ธนาคารกสิกรไทย SA-040-1-56500-0</v>
      </c>
      <c r="D316" t="s">
        <v>727</v>
      </c>
      <c r="E316" t="s">
        <v>551</v>
      </c>
      <c r="F316" t="s">
        <v>205</v>
      </c>
      <c r="G316" t="str">
        <f>VLOOKUP(F316,รายชื่อลูกบ้าน!$A:$B,2,FALSE)</f>
        <v>คุณฬุริยา หิมะชาติ</v>
      </c>
      <c r="H316" t="s">
        <v>401</v>
      </c>
      <c r="I316" s="23">
        <v>1800</v>
      </c>
    </row>
    <row r="317" spans="1:10">
      <c r="A317" s="2">
        <v>242193</v>
      </c>
      <c r="B317" s="7" t="s">
        <v>3</v>
      </c>
      <c r="C317" s="3" t="str">
        <f>VLOOKUP(B317,'Accounts chart'!$A:$B,2,FALSE)</f>
        <v>ธนาคารกสิกรไทย SA-040-1-56500-0</v>
      </c>
      <c r="D317" t="s">
        <v>727</v>
      </c>
      <c r="E317" t="s">
        <v>552</v>
      </c>
      <c r="F317" t="s">
        <v>128</v>
      </c>
      <c r="G317" t="str">
        <f>VLOOKUP(F317,รายชื่อลูกบ้าน!$A:$B,2,FALSE)</f>
        <v>คุณนันทรัตน์ เชียววัฒนะ</v>
      </c>
      <c r="H317" t="s">
        <v>404</v>
      </c>
      <c r="I317" s="23">
        <v>1800</v>
      </c>
    </row>
    <row r="318" spans="1:10">
      <c r="A318" s="2">
        <v>242193</v>
      </c>
      <c r="B318" s="7" t="s">
        <v>3</v>
      </c>
      <c r="C318" s="3" t="str">
        <f>VLOOKUP(B318,'Accounts chart'!$A:$B,2,FALSE)</f>
        <v>ธนาคารกสิกรไทย SA-040-1-56500-0</v>
      </c>
      <c r="D318" t="s">
        <v>727</v>
      </c>
      <c r="E318" t="s">
        <v>553</v>
      </c>
      <c r="F318" t="s">
        <v>128</v>
      </c>
      <c r="G318" t="str">
        <f>VLOOKUP(F318,รายชื่อลูกบ้าน!$A:$B,2,FALSE)</f>
        <v>คุณนันทรัตน์ เชียววัฒนะ</v>
      </c>
      <c r="H318" t="s">
        <v>401</v>
      </c>
      <c r="I318" s="23">
        <v>1800</v>
      </c>
    </row>
    <row r="319" spans="1:10">
      <c r="A319" s="2">
        <v>242193</v>
      </c>
      <c r="B319" s="7" t="s">
        <v>3</v>
      </c>
      <c r="C319" s="3" t="str">
        <f>VLOOKUP(B319,'Accounts chart'!$A:$B,2,FALSE)</f>
        <v>ธนาคารกสิกรไทย SA-040-1-56500-0</v>
      </c>
      <c r="D319" t="s">
        <v>727</v>
      </c>
      <c r="E319" t="s">
        <v>554</v>
      </c>
      <c r="F319" t="s">
        <v>279</v>
      </c>
      <c r="G319" t="str">
        <f>VLOOKUP(F319,รายชื่อลูกบ้าน!$A:$B,2,FALSE)</f>
        <v>คุณเสกสิทธิ์ คำธานี</v>
      </c>
      <c r="H319" t="s">
        <v>384</v>
      </c>
      <c r="I319" s="23">
        <v>601.09</v>
      </c>
    </row>
    <row r="320" spans="1:10">
      <c r="A320" s="2">
        <v>242193</v>
      </c>
      <c r="B320" s="7" t="s">
        <v>34</v>
      </c>
      <c r="C320" s="3" t="str">
        <f>VLOOKUP(B320,'Accounts chart'!$A:$B,2,FALSE)</f>
        <v>รายรับค่าส่วนกลาง</v>
      </c>
      <c r="D320" t="s">
        <v>727</v>
      </c>
      <c r="E320" t="s">
        <v>546</v>
      </c>
      <c r="F320" t="s">
        <v>162</v>
      </c>
      <c r="G320" t="str">
        <f>VLOOKUP(F320,รายชื่อลูกบ้าน!$A:$B,2,FALSE)</f>
        <v>คุณศริตวรรธน์ ศรีวัฒนวรกุล</v>
      </c>
      <c r="H320" t="s">
        <v>385</v>
      </c>
      <c r="J320" s="23">
        <v>600</v>
      </c>
    </row>
    <row r="321" spans="1:10">
      <c r="A321" s="2">
        <v>242193</v>
      </c>
      <c r="B321" s="7" t="s">
        <v>34</v>
      </c>
      <c r="C321" s="3" t="str">
        <f>VLOOKUP(B321,'Accounts chart'!$A:$B,2,FALSE)</f>
        <v>รายรับค่าส่วนกลาง</v>
      </c>
      <c r="D321" t="s">
        <v>727</v>
      </c>
      <c r="E321" t="s">
        <v>547</v>
      </c>
      <c r="F321" t="s">
        <v>121</v>
      </c>
      <c r="G321" t="str">
        <f>VLOOKUP(F321,รายชื่อลูกบ้าน!$A:$B,2,FALSE)</f>
        <v>คุณสถิตย์ ปาระพิมพ์</v>
      </c>
      <c r="H321" t="s">
        <v>384</v>
      </c>
      <c r="J321" s="23">
        <v>600</v>
      </c>
    </row>
    <row r="322" spans="1:10">
      <c r="A322" s="2">
        <v>242193</v>
      </c>
      <c r="B322" s="7" t="s">
        <v>34</v>
      </c>
      <c r="C322" s="3" t="str">
        <f>VLOOKUP(B322,'Accounts chart'!$A:$B,2,FALSE)</f>
        <v>รายรับค่าส่วนกลาง</v>
      </c>
      <c r="D322" t="s">
        <v>727</v>
      </c>
      <c r="E322" t="s">
        <v>548</v>
      </c>
      <c r="F322" t="s">
        <v>87</v>
      </c>
      <c r="G322" t="str">
        <f>VLOOKUP(F322,รายชื่อลูกบ้าน!$A:$B,2,FALSE)</f>
        <v>คุณคงกฤษณ์ กาญจนพฤกษ์</v>
      </c>
      <c r="H322" t="s">
        <v>384</v>
      </c>
      <c r="J322" s="23">
        <v>600</v>
      </c>
    </row>
    <row r="323" spans="1:10">
      <c r="A323" s="25">
        <v>242193</v>
      </c>
      <c r="B323" s="26" t="s">
        <v>26</v>
      </c>
      <c r="C323" s="27" t="str">
        <f>VLOOKUP(B323,'Accounts chart'!$A:$B,2,FALSE)</f>
        <v>รายได้ค่าส่วนกลางไม่ทราบชือ</v>
      </c>
      <c r="D323" s="4" t="s">
        <v>727</v>
      </c>
      <c r="E323" s="4" t="s">
        <v>549</v>
      </c>
      <c r="F323" s="4" t="s">
        <v>410</v>
      </c>
      <c r="G323" s="4" t="e">
        <f>VLOOKUP(F323,รายชื่อลูกบ้าน!$A:$B,2,FALSE)</f>
        <v>#N/A</v>
      </c>
      <c r="H323" s="4" t="s">
        <v>418</v>
      </c>
      <c r="I323" s="28"/>
      <c r="J323" s="28">
        <v>600</v>
      </c>
    </row>
    <row r="324" spans="1:10">
      <c r="A324" s="2">
        <v>242193</v>
      </c>
      <c r="B324" s="7" t="s">
        <v>4</v>
      </c>
      <c r="C324" s="3" t="str">
        <f>VLOOKUP(B324,'Accounts chart'!$A:$B,2,FALSE)</f>
        <v>ลูกหนี้ค่าส่วนกลาง</v>
      </c>
      <c r="D324" t="s">
        <v>727</v>
      </c>
      <c r="E324" t="s">
        <v>550</v>
      </c>
      <c r="F324" t="s">
        <v>205</v>
      </c>
      <c r="G324" t="str">
        <f>VLOOKUP(F324,รายชื่อลูกบ้าน!$A:$B,2,FALSE)</f>
        <v>คุณฬุริยา หิมะชาติ</v>
      </c>
      <c r="H324" t="s">
        <v>403</v>
      </c>
      <c r="J324" s="23">
        <v>1200</v>
      </c>
    </row>
    <row r="325" spans="1:10">
      <c r="A325" s="2">
        <v>242193</v>
      </c>
      <c r="B325" s="7" t="s">
        <v>34</v>
      </c>
      <c r="C325" s="3" t="str">
        <f>VLOOKUP(B325,'Accounts chart'!$A:$B,2,FALSE)</f>
        <v>รายรับค่าส่วนกลาง</v>
      </c>
      <c r="D325" t="s">
        <v>727</v>
      </c>
      <c r="E325" t="s">
        <v>551</v>
      </c>
      <c r="F325" t="s">
        <v>205</v>
      </c>
      <c r="G325" t="str">
        <f>VLOOKUP(F325,รายชื่อลูกบ้าน!$A:$B,2,FALSE)</f>
        <v>คุณฬุริยา หิมะชาติ</v>
      </c>
      <c r="H325" t="s">
        <v>401</v>
      </c>
      <c r="J325" s="23">
        <v>1800</v>
      </c>
    </row>
    <row r="326" spans="1:10">
      <c r="A326" s="2">
        <v>242193</v>
      </c>
      <c r="B326" s="7" t="s">
        <v>4</v>
      </c>
      <c r="C326" s="3" t="str">
        <f>VLOOKUP(B326,'Accounts chart'!$A:$B,2,FALSE)</f>
        <v>ลูกหนี้ค่าส่วนกลาง</v>
      </c>
      <c r="D326" t="s">
        <v>727</v>
      </c>
      <c r="E326" t="s">
        <v>552</v>
      </c>
      <c r="F326" t="s">
        <v>128</v>
      </c>
      <c r="G326" t="str">
        <f>VLOOKUP(F326,รายชื่อลูกบ้าน!$A:$B,2,FALSE)</f>
        <v>คุณนันทรัตน์ เชียววัฒนะ</v>
      </c>
      <c r="H326" t="s">
        <v>404</v>
      </c>
      <c r="J326" s="23">
        <v>1800</v>
      </c>
    </row>
    <row r="327" spans="1:10">
      <c r="A327" s="2">
        <v>242193</v>
      </c>
      <c r="B327" s="7" t="s">
        <v>34</v>
      </c>
      <c r="C327" s="3" t="str">
        <f>VLOOKUP(B327,'Accounts chart'!$A:$B,2,FALSE)</f>
        <v>รายรับค่าส่วนกลาง</v>
      </c>
      <c r="D327" t="s">
        <v>727</v>
      </c>
      <c r="E327" t="s">
        <v>553</v>
      </c>
      <c r="F327" t="s">
        <v>128</v>
      </c>
      <c r="G327" t="str">
        <f>VLOOKUP(F327,รายชื่อลูกบ้าน!$A:$B,2,FALSE)</f>
        <v>คุณนันทรัตน์ เชียววัฒนะ</v>
      </c>
      <c r="H327" t="s">
        <v>401</v>
      </c>
      <c r="J327" s="23">
        <v>1800</v>
      </c>
    </row>
    <row r="328" spans="1:10">
      <c r="A328" s="2">
        <v>242193</v>
      </c>
      <c r="B328" s="7" t="s">
        <v>34</v>
      </c>
      <c r="C328" s="3" t="str">
        <f>VLOOKUP(B328,'Accounts chart'!$A:$B,2,FALSE)</f>
        <v>รายรับค่าส่วนกลาง</v>
      </c>
      <c r="D328" t="s">
        <v>727</v>
      </c>
      <c r="E328" t="s">
        <v>554</v>
      </c>
      <c r="F328" t="s">
        <v>279</v>
      </c>
      <c r="G328" t="str">
        <f>VLOOKUP(F328,รายชื่อลูกบ้าน!$A:$B,2,FALSE)</f>
        <v>คุณเสกสิทธิ์ คำธานี</v>
      </c>
      <c r="H328" t="s">
        <v>384</v>
      </c>
      <c r="J328" s="23">
        <v>601.09</v>
      </c>
    </row>
    <row r="329" spans="1:10">
      <c r="A329" s="2"/>
      <c r="C329" s="3"/>
    </row>
    <row r="330" spans="1:10">
      <c r="A330" s="2"/>
      <c r="C330" s="3"/>
    </row>
    <row r="331" spans="1:10">
      <c r="A331" s="2"/>
      <c r="C331" s="3"/>
    </row>
    <row r="332" spans="1:10">
      <c r="A332" s="2">
        <v>242194</v>
      </c>
      <c r="B332" s="7" t="s">
        <v>3</v>
      </c>
      <c r="C332" s="3" t="str">
        <f>VLOOKUP(B332,'Accounts chart'!$A:$B,2,FALSE)</f>
        <v>ธนาคารกสิกรไทย SA-040-1-56500-0</v>
      </c>
      <c r="D332" t="s">
        <v>728</v>
      </c>
      <c r="E332" t="s">
        <v>555</v>
      </c>
      <c r="F332" t="s">
        <v>360</v>
      </c>
      <c r="G332" t="str">
        <f>VLOOKUP(F332,รายชื่อลูกบ้าน!$A:$B,2,FALSE)</f>
        <v>คุณวิษา มีมาก</v>
      </c>
      <c r="H332" t="s">
        <v>385</v>
      </c>
      <c r="I332" s="23">
        <v>600</v>
      </c>
    </row>
    <row r="333" spans="1:10">
      <c r="A333" s="2">
        <v>242194</v>
      </c>
      <c r="B333" s="7" t="s">
        <v>3</v>
      </c>
      <c r="C333" s="3" t="str">
        <f>VLOOKUP(B333,'Accounts chart'!$A:$B,2,FALSE)</f>
        <v>ธนาคารกสิกรไทย SA-040-1-56500-0</v>
      </c>
      <c r="D333" t="s">
        <v>728</v>
      </c>
      <c r="E333" t="s">
        <v>556</v>
      </c>
      <c r="F333" t="s">
        <v>311</v>
      </c>
      <c r="G333" t="str">
        <f>VLOOKUP(F333,รายชื่อลูกบ้าน!$A:$B,2,FALSE)</f>
        <v>คุณปิยณัฐ ปัญญาสวัสดิ์</v>
      </c>
      <c r="H333" t="s">
        <v>385</v>
      </c>
      <c r="I333" s="23">
        <v>600</v>
      </c>
    </row>
    <row r="334" spans="1:10">
      <c r="A334" s="2">
        <v>242194</v>
      </c>
      <c r="B334" s="7" t="s">
        <v>3</v>
      </c>
      <c r="C334" s="3" t="str">
        <f>VLOOKUP(B334,'Accounts chart'!$A:$B,2,FALSE)</f>
        <v>ธนาคารกสิกรไทย SA-040-1-56500-0</v>
      </c>
      <c r="D334" t="s">
        <v>728</v>
      </c>
      <c r="E334" t="s">
        <v>557</v>
      </c>
      <c r="F334" t="s">
        <v>182</v>
      </c>
      <c r="G334" t="str">
        <f>VLOOKUP(F334,รายชื่อลูกบ้าน!$A:$B,2,FALSE)</f>
        <v>คุณสิระพัชร์ หน่อแก้ว</v>
      </c>
      <c r="H334" t="s">
        <v>384</v>
      </c>
      <c r="I334" s="23">
        <v>600.53</v>
      </c>
    </row>
    <row r="335" spans="1:10">
      <c r="A335" s="2">
        <v>242194</v>
      </c>
      <c r="B335" s="7" t="s">
        <v>3</v>
      </c>
      <c r="C335" s="3" t="str">
        <f>VLOOKUP(B335,'Accounts chart'!$A:$B,2,FALSE)</f>
        <v>ธนาคารกสิกรไทย SA-040-1-56500-0</v>
      </c>
      <c r="D335" t="s">
        <v>728</v>
      </c>
      <c r="E335" t="s">
        <v>558</v>
      </c>
      <c r="F335" t="s">
        <v>187</v>
      </c>
      <c r="G335" t="str">
        <f>VLOOKUP(F335,รายชื่อลูกบ้าน!$A:$B,2,FALSE)</f>
        <v>นายญัชพล ภู่ถาวร</v>
      </c>
      <c r="H335" t="s">
        <v>385</v>
      </c>
      <c r="I335" s="23">
        <v>600</v>
      </c>
    </row>
    <row r="336" spans="1:10">
      <c r="A336" s="2">
        <v>242194</v>
      </c>
      <c r="B336" s="7" t="s">
        <v>34</v>
      </c>
      <c r="C336" s="3" t="str">
        <f>VLOOKUP(B336,'Accounts chart'!$A:$B,2,FALSE)</f>
        <v>รายรับค่าส่วนกลาง</v>
      </c>
      <c r="D336" t="s">
        <v>728</v>
      </c>
      <c r="E336" t="s">
        <v>555</v>
      </c>
      <c r="F336" t="s">
        <v>360</v>
      </c>
      <c r="G336" t="str">
        <f>VLOOKUP(F336,รายชื่อลูกบ้าน!$A:$B,2,FALSE)</f>
        <v>คุณวิษา มีมาก</v>
      </c>
      <c r="H336" t="s">
        <v>385</v>
      </c>
      <c r="J336" s="23">
        <v>600</v>
      </c>
    </row>
    <row r="337" spans="1:10">
      <c r="A337" s="2">
        <v>242194</v>
      </c>
      <c r="B337" s="7" t="s">
        <v>34</v>
      </c>
      <c r="C337" s="3" t="str">
        <f>VLOOKUP(B337,'Accounts chart'!$A:$B,2,FALSE)</f>
        <v>รายรับค่าส่วนกลาง</v>
      </c>
      <c r="D337" t="s">
        <v>728</v>
      </c>
      <c r="E337" t="s">
        <v>556</v>
      </c>
      <c r="F337" t="s">
        <v>311</v>
      </c>
      <c r="G337" t="str">
        <f>VLOOKUP(F337,รายชื่อลูกบ้าน!$A:$B,2,FALSE)</f>
        <v>คุณปิยณัฐ ปัญญาสวัสดิ์</v>
      </c>
      <c r="H337" t="s">
        <v>385</v>
      </c>
      <c r="J337" s="23">
        <v>600</v>
      </c>
    </row>
    <row r="338" spans="1:10">
      <c r="A338" s="2">
        <v>242194</v>
      </c>
      <c r="B338" s="7" t="s">
        <v>34</v>
      </c>
      <c r="C338" s="3" t="str">
        <f>VLOOKUP(B338,'Accounts chart'!$A:$B,2,FALSE)</f>
        <v>รายรับค่าส่วนกลาง</v>
      </c>
      <c r="D338" t="s">
        <v>728</v>
      </c>
      <c r="E338" t="s">
        <v>557</v>
      </c>
      <c r="F338" t="s">
        <v>182</v>
      </c>
      <c r="G338" t="str">
        <f>VLOOKUP(F338,รายชื่อลูกบ้าน!$A:$B,2,FALSE)</f>
        <v>คุณสิระพัชร์ หน่อแก้ว</v>
      </c>
      <c r="H338" t="s">
        <v>384</v>
      </c>
      <c r="J338" s="23">
        <v>600.53</v>
      </c>
    </row>
    <row r="339" spans="1:10">
      <c r="A339" s="2">
        <v>242194</v>
      </c>
      <c r="B339" s="7" t="s">
        <v>34</v>
      </c>
      <c r="C339" s="3" t="str">
        <f>VLOOKUP(B339,'Accounts chart'!$A:$B,2,FALSE)</f>
        <v>รายรับค่าส่วนกลาง</v>
      </c>
      <c r="D339" t="s">
        <v>728</v>
      </c>
      <c r="E339" t="s">
        <v>558</v>
      </c>
      <c r="F339" t="s">
        <v>187</v>
      </c>
      <c r="G339" t="str">
        <f>VLOOKUP(F339,รายชื่อลูกบ้าน!$A:$B,2,FALSE)</f>
        <v>นายญัชพล ภู่ถาวร</v>
      </c>
      <c r="H339" t="s">
        <v>385</v>
      </c>
      <c r="J339" s="23">
        <v>600</v>
      </c>
    </row>
    <row r="340" spans="1:10">
      <c r="A340" s="2"/>
      <c r="C340" s="3"/>
      <c r="I340" s="20"/>
      <c r="J340" s="20"/>
    </row>
    <row r="341" spans="1:10">
      <c r="A341" s="2">
        <v>242194</v>
      </c>
      <c r="B341" s="7" t="s">
        <v>44</v>
      </c>
      <c r="C341" s="3" t="str">
        <f>VLOOKUP(B341,'Accounts chart'!$A:$B,2,FALSE)</f>
        <v>วัสดุสิ้นเปลือง</v>
      </c>
      <c r="D341" t="s">
        <v>918</v>
      </c>
      <c r="G341" t="s">
        <v>782</v>
      </c>
      <c r="H341" t="s">
        <v>783</v>
      </c>
      <c r="I341" s="20">
        <v>800</v>
      </c>
      <c r="J341" s="20"/>
    </row>
    <row r="342" spans="1:10">
      <c r="A342" s="2">
        <v>242194</v>
      </c>
      <c r="B342" s="7" t="s">
        <v>2</v>
      </c>
      <c r="C342" s="3" t="str">
        <f>VLOOKUP(B342,'Accounts chart'!$A:$B,2,FALSE)</f>
        <v>ธนาคารกสิกรไทย CA-040-1-57563-4</v>
      </c>
      <c r="D342" t="s">
        <v>918</v>
      </c>
      <c r="G342" t="s">
        <v>782</v>
      </c>
      <c r="H342" t="s">
        <v>783</v>
      </c>
      <c r="I342" s="20"/>
      <c r="J342" s="20">
        <v>800</v>
      </c>
    </row>
    <row r="343" spans="1:10">
      <c r="A343" s="2"/>
      <c r="C343" s="3"/>
      <c r="I343" s="20"/>
      <c r="J343" s="20"/>
    </row>
    <row r="344" spans="1:10">
      <c r="A344" s="2"/>
      <c r="C344" s="3"/>
      <c r="I344" s="20"/>
      <c r="J344" s="20"/>
    </row>
    <row r="345" spans="1:10">
      <c r="A345" s="2">
        <v>242195</v>
      </c>
      <c r="B345" s="7" t="s">
        <v>3</v>
      </c>
      <c r="C345" s="3" t="str">
        <f>VLOOKUP(B345,'Accounts chart'!$A:$B,2,FALSE)</f>
        <v>ธนาคารกสิกรไทย SA-040-1-56500-0</v>
      </c>
      <c r="D345" t="s">
        <v>729</v>
      </c>
      <c r="E345" t="s">
        <v>559</v>
      </c>
      <c r="F345" t="s">
        <v>119</v>
      </c>
      <c r="G345" t="str">
        <f>VLOOKUP(F345,รายชื่อลูกบ้าน!$A:$B,2,FALSE)</f>
        <v>คุณกนกลักษณ์ วิลเลี่ยมส์</v>
      </c>
      <c r="H345" t="s">
        <v>385</v>
      </c>
      <c r="I345" s="20">
        <v>600.15</v>
      </c>
      <c r="J345" s="20"/>
    </row>
    <row r="346" spans="1:10">
      <c r="A346" s="2">
        <v>242195</v>
      </c>
      <c r="B346" s="7" t="s">
        <v>34</v>
      </c>
      <c r="C346" s="3" t="str">
        <f>VLOOKUP(B346,'Accounts chart'!$A:$B,2,FALSE)</f>
        <v>รายรับค่าส่วนกลาง</v>
      </c>
      <c r="D346" t="s">
        <v>729</v>
      </c>
      <c r="E346" t="s">
        <v>559</v>
      </c>
      <c r="F346" t="s">
        <v>119</v>
      </c>
      <c r="G346" t="str">
        <f>VLOOKUP(F346,รายชื่อลูกบ้าน!$A:$B,2,FALSE)</f>
        <v>คุณกนกลักษณ์ วิลเลี่ยมส์</v>
      </c>
      <c r="H346" t="s">
        <v>385</v>
      </c>
      <c r="J346" s="23">
        <v>600.15</v>
      </c>
    </row>
    <row r="347" spans="1:10">
      <c r="A347" s="2"/>
      <c r="C347" s="3"/>
    </row>
    <row r="348" spans="1:10">
      <c r="A348" s="2">
        <v>242196</v>
      </c>
      <c r="B348" s="7" t="s">
        <v>3</v>
      </c>
      <c r="C348" s="3" t="str">
        <f>VLOOKUP(B348,'Accounts chart'!$A:$B,2,FALSE)</f>
        <v>ธนาคารกสิกรไทย SA-040-1-56500-0</v>
      </c>
      <c r="D348" t="s">
        <v>730</v>
      </c>
      <c r="E348" t="s">
        <v>560</v>
      </c>
      <c r="F348" t="s">
        <v>223</v>
      </c>
      <c r="G348" t="str">
        <f>VLOOKUP(F348,รายชื่อลูกบ้าน!$A:$B,2,FALSE)</f>
        <v>คุณสุจิตรา เนินคีริ</v>
      </c>
      <c r="H348" t="s">
        <v>384</v>
      </c>
      <c r="I348" s="23">
        <v>600</v>
      </c>
    </row>
    <row r="349" spans="1:10">
      <c r="A349" s="2">
        <v>242196</v>
      </c>
      <c r="B349" s="7" t="s">
        <v>3</v>
      </c>
      <c r="C349" s="3" t="str">
        <f>VLOOKUP(B349,'Accounts chart'!$A:$B,2,FALSE)</f>
        <v>ธนาคารกสิกรไทย SA-040-1-56500-0</v>
      </c>
      <c r="D349" t="s">
        <v>730</v>
      </c>
      <c r="E349" t="s">
        <v>561</v>
      </c>
      <c r="F349" t="s">
        <v>159</v>
      </c>
      <c r="G349" t="str">
        <f>VLOOKUP(F349,รายชื่อลูกบ้าน!$A:$B,2,FALSE)</f>
        <v>คุณอดุลย์ แก้วอำไพ</v>
      </c>
      <c r="H349" t="s">
        <v>385</v>
      </c>
      <c r="I349" s="23">
        <v>600.38</v>
      </c>
    </row>
    <row r="350" spans="1:10">
      <c r="A350" s="2">
        <v>242196</v>
      </c>
      <c r="B350" s="7" t="s">
        <v>34</v>
      </c>
      <c r="C350" s="3" t="str">
        <f>VLOOKUP(B350,'Accounts chart'!$A:$B,2,FALSE)</f>
        <v>รายรับค่าส่วนกลาง</v>
      </c>
      <c r="D350" t="s">
        <v>730</v>
      </c>
      <c r="E350" t="s">
        <v>560</v>
      </c>
      <c r="F350" t="s">
        <v>223</v>
      </c>
      <c r="G350" t="str">
        <f>VLOOKUP(F350,รายชื่อลูกบ้าน!$A:$B,2,FALSE)</f>
        <v>คุณสุจิตรา เนินคีริ</v>
      </c>
      <c r="H350" t="s">
        <v>384</v>
      </c>
      <c r="J350" s="23">
        <v>600</v>
      </c>
    </row>
    <row r="351" spans="1:10">
      <c r="A351" s="2">
        <v>242196</v>
      </c>
      <c r="B351" s="7" t="s">
        <v>34</v>
      </c>
      <c r="C351" s="3" t="str">
        <f>VLOOKUP(B351,'Accounts chart'!$A:$B,2,FALSE)</f>
        <v>รายรับค่าส่วนกลาง</v>
      </c>
      <c r="D351" t="s">
        <v>730</v>
      </c>
      <c r="E351" t="s">
        <v>561</v>
      </c>
      <c r="F351" t="s">
        <v>159</v>
      </c>
      <c r="G351" t="str">
        <f>VLOOKUP(F351,รายชื่อลูกบ้าน!$A:$B,2,FALSE)</f>
        <v>คุณอดุลย์ แก้วอำไพ</v>
      </c>
      <c r="H351" t="s">
        <v>385</v>
      </c>
      <c r="J351" s="23">
        <v>600.38</v>
      </c>
    </row>
    <row r="352" spans="1:10">
      <c r="A352" s="2"/>
      <c r="C352" s="3"/>
    </row>
    <row r="353" spans="1:10">
      <c r="A353" s="2">
        <v>242199</v>
      </c>
      <c r="B353" s="7" t="s">
        <v>3</v>
      </c>
      <c r="C353" s="3" t="str">
        <f>VLOOKUP(B353,'Accounts chart'!$A:$B,2,FALSE)</f>
        <v>ธนาคารกสิกรไทย SA-040-1-56500-0</v>
      </c>
      <c r="D353" t="s">
        <v>731</v>
      </c>
      <c r="E353" t="s">
        <v>562</v>
      </c>
      <c r="F353" t="s">
        <v>249</v>
      </c>
      <c r="G353" t="str">
        <f>VLOOKUP(F353,รายชื่อลูกบ้าน!$A:$B,2,FALSE)</f>
        <v>คุณทรงเดช กันทาสุวรรณ์</v>
      </c>
      <c r="H353" t="s">
        <v>419</v>
      </c>
      <c r="I353" s="23">
        <v>7200</v>
      </c>
    </row>
    <row r="354" spans="1:10">
      <c r="A354" s="2">
        <v>242199</v>
      </c>
      <c r="B354" s="7" t="s">
        <v>3</v>
      </c>
      <c r="C354" s="3" t="str">
        <f>VLOOKUP(B354,'Accounts chart'!$A:$B,2,FALSE)</f>
        <v>ธนาคารกสิกรไทย SA-040-1-56500-0</v>
      </c>
      <c r="D354" t="s">
        <v>731</v>
      </c>
      <c r="E354" t="s">
        <v>563</v>
      </c>
      <c r="F354" t="s">
        <v>249</v>
      </c>
      <c r="G354" t="str">
        <f>VLOOKUP(F354,รายชื่อลูกบ้าน!$A:$B,2,FALSE)</f>
        <v>คุณทรงเดช กันทาสุวรรณ์</v>
      </c>
      <c r="H354" t="s">
        <v>401</v>
      </c>
      <c r="I354" s="23">
        <v>1800</v>
      </c>
    </row>
    <row r="355" spans="1:10">
      <c r="A355" s="2">
        <v>242199</v>
      </c>
      <c r="B355" s="7" t="s">
        <v>3</v>
      </c>
      <c r="C355" s="3" t="str">
        <f>VLOOKUP(B355,'Accounts chart'!$A:$B,2,FALSE)</f>
        <v>ธนาคารกสิกรไทย SA-040-1-56500-0</v>
      </c>
      <c r="D355" t="s">
        <v>731</v>
      </c>
      <c r="E355" t="s">
        <v>564</v>
      </c>
      <c r="F355" t="s">
        <v>277</v>
      </c>
      <c r="G355" t="str">
        <f>VLOOKUP(F355,รายชื่อลูกบ้าน!$A:$B,2,FALSE)</f>
        <v>คุณสุกิจ พยัฆศิริ</v>
      </c>
      <c r="H355" t="s">
        <v>384</v>
      </c>
      <c r="I355" s="23">
        <v>600</v>
      </c>
    </row>
    <row r="356" spans="1:10">
      <c r="A356" s="2">
        <v>242199</v>
      </c>
      <c r="B356" s="7" t="s">
        <v>3</v>
      </c>
      <c r="C356" s="3" t="str">
        <f>VLOOKUP(B356,'Accounts chart'!$A:$B,2,FALSE)</f>
        <v>ธนาคารกสิกรไทย SA-040-1-56500-0</v>
      </c>
      <c r="D356" t="s">
        <v>731</v>
      </c>
      <c r="E356" t="s">
        <v>565</v>
      </c>
      <c r="F356" t="s">
        <v>167</v>
      </c>
      <c r="G356" t="str">
        <f>VLOOKUP(F356,รายชื่อลูกบ้าน!$A:$B,2,FALSE)</f>
        <v>คุณคฑาวุธ พิมลศรี</v>
      </c>
      <c r="H356" t="s">
        <v>384</v>
      </c>
      <c r="I356" s="23">
        <v>600</v>
      </c>
    </row>
    <row r="357" spans="1:10">
      <c r="A357" s="2">
        <v>242199</v>
      </c>
      <c r="B357" s="7" t="s">
        <v>3</v>
      </c>
      <c r="C357" s="3" t="str">
        <f>VLOOKUP(B357,'Accounts chart'!$A:$B,2,FALSE)</f>
        <v>ธนาคารกสิกรไทย SA-040-1-56500-0</v>
      </c>
      <c r="D357" t="s">
        <v>731</v>
      </c>
      <c r="E357" t="s">
        <v>566</v>
      </c>
      <c r="F357" t="s">
        <v>122</v>
      </c>
      <c r="G357" t="str">
        <f>VLOOKUP(F357,รายชื่อลูกบ้าน!$A:$B,2,FALSE)</f>
        <v>คุณศิวกร รัตนประดิษฐ์</v>
      </c>
      <c r="H357" t="s">
        <v>385</v>
      </c>
      <c r="I357" s="23">
        <v>600</v>
      </c>
    </row>
    <row r="358" spans="1:10">
      <c r="A358" s="2">
        <v>242199</v>
      </c>
      <c r="B358" s="7" t="s">
        <v>4</v>
      </c>
      <c r="C358" s="3" t="str">
        <f>VLOOKUP(B358,'Accounts chart'!$A:$B,2,FALSE)</f>
        <v>ลูกหนี้ค่าส่วนกลาง</v>
      </c>
      <c r="D358" t="s">
        <v>731</v>
      </c>
      <c r="E358" t="s">
        <v>562</v>
      </c>
      <c r="F358" t="s">
        <v>249</v>
      </c>
      <c r="G358" t="str">
        <f>VLOOKUP(F358,รายชื่อลูกบ้าน!$A:$B,2,FALSE)</f>
        <v>คุณทรงเดช กันทาสุวรรณ์</v>
      </c>
      <c r="H358" t="s">
        <v>419</v>
      </c>
      <c r="J358" s="23">
        <v>7200</v>
      </c>
    </row>
    <row r="359" spans="1:10">
      <c r="A359" s="2">
        <v>242199</v>
      </c>
      <c r="B359" s="7" t="s">
        <v>34</v>
      </c>
      <c r="C359" s="3" t="str">
        <f>VLOOKUP(B359,'Accounts chart'!$A:$B,2,FALSE)</f>
        <v>รายรับค่าส่วนกลาง</v>
      </c>
      <c r="D359" t="s">
        <v>731</v>
      </c>
      <c r="E359" t="s">
        <v>563</v>
      </c>
      <c r="F359" t="s">
        <v>249</v>
      </c>
      <c r="G359" t="str">
        <f>VLOOKUP(F359,รายชื่อลูกบ้าน!$A:$B,2,FALSE)</f>
        <v>คุณทรงเดช กันทาสุวรรณ์</v>
      </c>
      <c r="H359" t="s">
        <v>401</v>
      </c>
      <c r="J359" s="23">
        <v>1800</v>
      </c>
    </row>
    <row r="360" spans="1:10">
      <c r="A360" s="2">
        <v>242199</v>
      </c>
      <c r="B360" s="7" t="s">
        <v>34</v>
      </c>
      <c r="C360" s="3" t="str">
        <f>VLOOKUP(B360,'Accounts chart'!$A:$B,2,FALSE)</f>
        <v>รายรับค่าส่วนกลาง</v>
      </c>
      <c r="D360" t="s">
        <v>731</v>
      </c>
      <c r="E360" t="s">
        <v>564</v>
      </c>
      <c r="F360" t="s">
        <v>277</v>
      </c>
      <c r="G360" t="str">
        <f>VLOOKUP(F360,รายชื่อลูกบ้าน!$A:$B,2,FALSE)</f>
        <v>คุณสุกิจ พยัฆศิริ</v>
      </c>
      <c r="H360" t="s">
        <v>384</v>
      </c>
      <c r="J360" s="23">
        <v>600</v>
      </c>
    </row>
    <row r="361" spans="1:10">
      <c r="A361" s="2">
        <v>242199</v>
      </c>
      <c r="B361" s="7" t="s">
        <v>34</v>
      </c>
      <c r="C361" s="3" t="str">
        <f>VLOOKUP(B361,'Accounts chart'!$A:$B,2,FALSE)</f>
        <v>รายรับค่าส่วนกลาง</v>
      </c>
      <c r="D361" t="s">
        <v>731</v>
      </c>
      <c r="E361" t="s">
        <v>565</v>
      </c>
      <c r="F361" t="s">
        <v>167</v>
      </c>
      <c r="G361" t="str">
        <f>VLOOKUP(F361,รายชื่อลูกบ้าน!$A:$B,2,FALSE)</f>
        <v>คุณคฑาวุธ พิมลศรี</v>
      </c>
      <c r="H361" t="s">
        <v>384</v>
      </c>
      <c r="J361" s="23">
        <v>600</v>
      </c>
    </row>
    <row r="362" spans="1:10">
      <c r="A362" s="2">
        <v>242199</v>
      </c>
      <c r="B362" s="7" t="s">
        <v>34</v>
      </c>
      <c r="C362" s="3" t="str">
        <f>VLOOKUP(B362,'Accounts chart'!$A:$B,2,FALSE)</f>
        <v>รายรับค่าส่วนกลาง</v>
      </c>
      <c r="D362" t="s">
        <v>731</v>
      </c>
      <c r="E362" t="s">
        <v>566</v>
      </c>
      <c r="F362" t="s">
        <v>122</v>
      </c>
      <c r="G362" t="str">
        <f>VLOOKUP(F362,รายชื่อลูกบ้าน!$A:$B,2,FALSE)</f>
        <v>คุณศิวกร รัตนประดิษฐ์</v>
      </c>
      <c r="H362" t="s">
        <v>385</v>
      </c>
      <c r="J362" s="23">
        <v>600</v>
      </c>
    </row>
    <row r="363" spans="1:10">
      <c r="A363" s="2"/>
      <c r="C363" s="3"/>
      <c r="I363" s="20"/>
      <c r="J363" s="20"/>
    </row>
    <row r="364" spans="1:10">
      <c r="A364" s="2">
        <v>242199</v>
      </c>
      <c r="B364" s="7" t="s">
        <v>18</v>
      </c>
      <c r="C364" s="3" t="str">
        <f>VLOOKUP(B364,'Accounts chart'!$A:$B,2,FALSE)</f>
        <v>ค่ารักษาความปลอดภัยค้างจ่าย</v>
      </c>
      <c r="D364" t="s">
        <v>919</v>
      </c>
      <c r="G364" t="s">
        <v>769</v>
      </c>
      <c r="H364" t="s">
        <v>784</v>
      </c>
      <c r="I364" s="20">
        <v>38233.18</v>
      </c>
      <c r="J364" s="20"/>
    </row>
    <row r="365" spans="1:10">
      <c r="A365" s="2">
        <v>242199</v>
      </c>
      <c r="B365" s="7" t="s">
        <v>2</v>
      </c>
      <c r="C365" s="3" t="str">
        <f>VLOOKUP(B365,'Accounts chart'!$A:$B,2,FALSE)</f>
        <v>ธนาคารกสิกรไทย CA-040-1-57563-4</v>
      </c>
      <c r="D365" t="s">
        <v>919</v>
      </c>
      <c r="G365" t="s">
        <v>769</v>
      </c>
      <c r="H365" t="s">
        <v>784</v>
      </c>
      <c r="I365" s="20"/>
      <c r="J365" s="20">
        <v>38233.18</v>
      </c>
    </row>
    <row r="366" spans="1:10">
      <c r="A366" s="2"/>
      <c r="C366" s="3"/>
      <c r="I366" s="20"/>
      <c r="J366" s="20"/>
    </row>
    <row r="367" spans="1:10">
      <c r="A367" s="2">
        <v>242199</v>
      </c>
      <c r="B367" s="7" t="s">
        <v>22</v>
      </c>
      <c r="C367" s="3" t="str">
        <f>VLOOKUP(B367,'Accounts chart'!$A:$B,2,FALSE)</f>
        <v>ค่าดูแลส่วนกลางค้างจ่าย</v>
      </c>
      <c r="D367" t="s">
        <v>920</v>
      </c>
      <c r="G367" t="s">
        <v>771</v>
      </c>
      <c r="H367" t="s">
        <v>785</v>
      </c>
      <c r="I367" s="20">
        <v>15000</v>
      </c>
      <c r="J367" s="20"/>
    </row>
    <row r="368" spans="1:10">
      <c r="A368" s="2">
        <v>242199</v>
      </c>
      <c r="B368" s="7" t="s">
        <v>2</v>
      </c>
      <c r="C368" s="3" t="str">
        <f>VLOOKUP(B368,'Accounts chart'!$A:$B,2,FALSE)</f>
        <v>ธนาคารกสิกรไทย CA-040-1-57563-4</v>
      </c>
      <c r="D368" t="s">
        <v>920</v>
      </c>
      <c r="G368" t="s">
        <v>771</v>
      </c>
      <c r="H368" t="s">
        <v>785</v>
      </c>
      <c r="I368" s="20"/>
      <c r="J368" s="20">
        <v>15000</v>
      </c>
    </row>
    <row r="369" spans="1:10">
      <c r="A369" s="2"/>
      <c r="C369" s="3"/>
      <c r="I369" s="20"/>
      <c r="J369" s="20"/>
    </row>
    <row r="370" spans="1:10">
      <c r="A370" s="2">
        <v>242199</v>
      </c>
      <c r="B370" s="7" t="s">
        <v>16</v>
      </c>
      <c r="C370" s="3" t="str">
        <f>VLOOKUP(B370,'Accounts chart'!$A:$B,2,FALSE)</f>
        <v>ค่าบริการดูแลสระว่ายน้ำค้างจ่าย</v>
      </c>
      <c r="D370" t="s">
        <v>921</v>
      </c>
      <c r="G370" t="s">
        <v>775</v>
      </c>
      <c r="H370" t="s">
        <v>786</v>
      </c>
      <c r="I370" s="20">
        <v>7500</v>
      </c>
      <c r="J370" s="20"/>
    </row>
    <row r="371" spans="1:10">
      <c r="A371" s="2">
        <v>242199</v>
      </c>
      <c r="B371" s="7" t="s">
        <v>2</v>
      </c>
      <c r="C371" s="3" t="str">
        <f>VLOOKUP(B371,'Accounts chart'!$A:$B,2,FALSE)</f>
        <v>ธนาคารกสิกรไทย CA-040-1-57563-4</v>
      </c>
      <c r="D371" t="s">
        <v>921</v>
      </c>
      <c r="G371" t="s">
        <v>775</v>
      </c>
      <c r="H371" t="s">
        <v>786</v>
      </c>
      <c r="I371" s="20"/>
      <c r="J371" s="20">
        <v>7500</v>
      </c>
    </row>
    <row r="372" spans="1:10">
      <c r="A372" s="2"/>
      <c r="C372" s="3"/>
      <c r="I372" s="20"/>
      <c r="J372" s="20"/>
    </row>
    <row r="373" spans="1:10">
      <c r="A373" s="2">
        <v>242199</v>
      </c>
      <c r="B373" s="7" t="s">
        <v>14</v>
      </c>
      <c r="C373" s="3" t="str">
        <f>VLOOKUP(B373,'Accounts chart'!$A:$B,2,FALSE)</f>
        <v>ค่าเก็บขยะค้างจ่าย</v>
      </c>
      <c r="D373" t="s">
        <v>922</v>
      </c>
      <c r="G373" t="s">
        <v>773</v>
      </c>
      <c r="H373" t="s">
        <v>787</v>
      </c>
      <c r="I373" s="20">
        <v>3000</v>
      </c>
      <c r="J373" s="20"/>
    </row>
    <row r="374" spans="1:10">
      <c r="A374" s="2">
        <v>242199</v>
      </c>
      <c r="B374" s="7" t="s">
        <v>3</v>
      </c>
      <c r="C374" s="3" t="str">
        <f>VLOOKUP(B374,'Accounts chart'!$A:$B,2,FALSE)</f>
        <v>ธนาคารกสิกรไทย SA-040-1-56500-0</v>
      </c>
      <c r="D374" t="s">
        <v>922</v>
      </c>
      <c r="G374" t="s">
        <v>773</v>
      </c>
      <c r="H374" t="s">
        <v>787</v>
      </c>
      <c r="I374" s="20"/>
      <c r="J374" s="20">
        <v>3000</v>
      </c>
    </row>
    <row r="375" spans="1:10">
      <c r="A375" s="2"/>
      <c r="C375" s="3"/>
      <c r="I375" s="20"/>
      <c r="J375" s="20"/>
    </row>
    <row r="376" spans="1:10">
      <c r="A376" s="2">
        <v>242201</v>
      </c>
      <c r="B376" s="7" t="s">
        <v>3</v>
      </c>
      <c r="C376" s="3" t="str">
        <f>VLOOKUP(B376,'Accounts chart'!$A:$B,2,FALSE)</f>
        <v>ธนาคารกสิกรไทย SA-040-1-56500-0</v>
      </c>
      <c r="D376" t="s">
        <v>732</v>
      </c>
      <c r="E376" t="s">
        <v>567</v>
      </c>
      <c r="F376" t="s">
        <v>331</v>
      </c>
      <c r="G376" t="str">
        <f>VLOOKUP(F376,รายชื่อลูกบ้าน!$A:$B,2,FALSE)</f>
        <v>คุณวชิระ ช่างแก้ว</v>
      </c>
      <c r="H376" t="s">
        <v>400</v>
      </c>
      <c r="I376" s="20">
        <v>600</v>
      </c>
      <c r="J376" s="20"/>
    </row>
    <row r="377" spans="1:10">
      <c r="A377" s="2">
        <v>242201</v>
      </c>
      <c r="B377" s="7" t="s">
        <v>3</v>
      </c>
      <c r="C377" s="3" t="str">
        <f>VLOOKUP(B377,'Accounts chart'!$A:$B,2,FALSE)</f>
        <v>ธนาคารกสิกรไทย SA-040-1-56500-0</v>
      </c>
      <c r="D377" t="s">
        <v>732</v>
      </c>
      <c r="E377" t="s">
        <v>568</v>
      </c>
      <c r="F377" t="s">
        <v>331</v>
      </c>
      <c r="G377" t="str">
        <f>VLOOKUP(F377,รายชื่อลูกบ้าน!$A:$B,2,FALSE)</f>
        <v>คุณวชิระ ช่างแก้ว</v>
      </c>
      <c r="H377" t="s">
        <v>401</v>
      </c>
      <c r="I377" s="23">
        <v>1800</v>
      </c>
    </row>
    <row r="378" spans="1:10">
      <c r="A378" s="2">
        <v>242201</v>
      </c>
      <c r="B378" s="7" t="s">
        <v>3</v>
      </c>
      <c r="C378" s="3" t="str">
        <f>VLOOKUP(B378,'Accounts chart'!$A:$B,2,FALSE)</f>
        <v>ธนาคารกสิกรไทย SA-040-1-56500-0</v>
      </c>
      <c r="D378" t="s">
        <v>732</v>
      </c>
      <c r="E378" t="s">
        <v>569</v>
      </c>
      <c r="F378" t="s">
        <v>193</v>
      </c>
      <c r="G378" t="str">
        <f>VLOOKUP(F378,รายชื่อลูกบ้าน!$A:$B,2,FALSE)</f>
        <v>คุณสมควร สิงห์ชม</v>
      </c>
      <c r="H378" t="s">
        <v>383</v>
      </c>
      <c r="I378" s="23">
        <v>7000</v>
      </c>
    </row>
    <row r="379" spans="1:10">
      <c r="A379" s="2">
        <v>242201</v>
      </c>
      <c r="B379" s="7" t="s">
        <v>4</v>
      </c>
      <c r="C379" s="3" t="str">
        <f>VLOOKUP(B379,'Accounts chart'!$A:$B,2,FALSE)</f>
        <v>ลูกหนี้ค่าส่วนกลาง</v>
      </c>
      <c r="D379" t="s">
        <v>732</v>
      </c>
      <c r="E379" t="s">
        <v>567</v>
      </c>
      <c r="F379" t="s">
        <v>331</v>
      </c>
      <c r="G379" t="str">
        <f>VLOOKUP(F379,รายชื่อลูกบ้าน!$A:$B,2,FALSE)</f>
        <v>คุณวชิระ ช่างแก้ว</v>
      </c>
      <c r="H379" t="s">
        <v>400</v>
      </c>
      <c r="J379" s="23">
        <v>600</v>
      </c>
    </row>
    <row r="380" spans="1:10">
      <c r="A380" s="2">
        <v>242201</v>
      </c>
      <c r="B380" s="7" t="s">
        <v>34</v>
      </c>
      <c r="C380" s="3" t="str">
        <f>VLOOKUP(B380,'Accounts chart'!$A:$B,2,FALSE)</f>
        <v>รายรับค่าส่วนกลาง</v>
      </c>
      <c r="D380" t="s">
        <v>732</v>
      </c>
      <c r="E380" t="s">
        <v>568</v>
      </c>
      <c r="F380" t="s">
        <v>331</v>
      </c>
      <c r="G380" t="str">
        <f>VLOOKUP(F380,รายชื่อลูกบ้าน!$A:$B,2,FALSE)</f>
        <v>คุณวชิระ ช่างแก้ว</v>
      </c>
      <c r="H380" t="s">
        <v>401</v>
      </c>
      <c r="J380" s="23">
        <v>1800</v>
      </c>
    </row>
    <row r="381" spans="1:10">
      <c r="A381" s="2">
        <v>242201</v>
      </c>
      <c r="B381" s="7" t="s">
        <v>34</v>
      </c>
      <c r="C381" s="3" t="str">
        <f>VLOOKUP(B381,'Accounts chart'!$A:$B,2,FALSE)</f>
        <v>รายรับค่าส่วนกลาง</v>
      </c>
      <c r="D381" t="s">
        <v>732</v>
      </c>
      <c r="E381" t="s">
        <v>569</v>
      </c>
      <c r="F381" t="s">
        <v>193</v>
      </c>
      <c r="G381" t="str">
        <f>VLOOKUP(F381,รายชื่อลูกบ้าน!$A:$B,2,FALSE)</f>
        <v>คุณสมควร สิงห์ชม</v>
      </c>
      <c r="H381" t="s">
        <v>383</v>
      </c>
      <c r="J381" s="23">
        <v>7000</v>
      </c>
    </row>
    <row r="382" spans="1:10">
      <c r="A382" s="2"/>
      <c r="C382" s="3"/>
    </row>
    <row r="383" spans="1:10">
      <c r="A383" s="2">
        <v>242202</v>
      </c>
      <c r="B383" s="7" t="s">
        <v>3</v>
      </c>
      <c r="C383" s="3" t="str">
        <f>VLOOKUP(B383,'Accounts chart'!$A:$B,2,FALSE)</f>
        <v>ธนาคารกสิกรไทย SA-040-1-56500-0</v>
      </c>
      <c r="D383" t="s">
        <v>733</v>
      </c>
      <c r="E383" t="s">
        <v>570</v>
      </c>
      <c r="F383" t="s">
        <v>107</v>
      </c>
      <c r="G383" t="str">
        <f>VLOOKUP(F383,รายชื่อลูกบ้าน!$A:$B,2,FALSE)</f>
        <v>คุณอนันต์ แจ่มจันทร์</v>
      </c>
      <c r="H383" t="s">
        <v>385</v>
      </c>
      <c r="I383" s="23">
        <v>600</v>
      </c>
    </row>
    <row r="384" spans="1:10">
      <c r="A384" s="2">
        <v>242202</v>
      </c>
      <c r="B384" s="7" t="s">
        <v>4</v>
      </c>
      <c r="C384" s="3" t="str">
        <f>VLOOKUP(B384,'Accounts chart'!$A:$B,2,FALSE)</f>
        <v>ลูกหนี้ค่าส่วนกลาง</v>
      </c>
      <c r="D384" t="s">
        <v>733</v>
      </c>
      <c r="E384" t="s">
        <v>570</v>
      </c>
      <c r="F384" t="s">
        <v>107</v>
      </c>
      <c r="G384" t="str">
        <f>VLOOKUP(F384,รายชื่อลูกบ้าน!$A:$B,2,FALSE)</f>
        <v>คุณอนันต์ แจ่มจันทร์</v>
      </c>
      <c r="H384" t="s">
        <v>385</v>
      </c>
      <c r="J384" s="23">
        <v>600</v>
      </c>
    </row>
    <row r="385" spans="1:10">
      <c r="A385" s="2"/>
      <c r="C385" s="3"/>
    </row>
    <row r="386" spans="1:10">
      <c r="A386" s="25">
        <v>242209</v>
      </c>
      <c r="B386" s="26" t="s">
        <v>3</v>
      </c>
      <c r="C386" s="27" t="str">
        <f>VLOOKUP(B386,'Accounts chart'!$A:$B,2,FALSE)</f>
        <v>ธนาคารกสิกรไทย SA-040-1-56500-0</v>
      </c>
      <c r="D386" s="4" t="s">
        <v>734</v>
      </c>
      <c r="E386" s="4" t="s">
        <v>571</v>
      </c>
      <c r="F386" s="4"/>
      <c r="G386" s="4" t="e">
        <f>VLOOKUP(F386,รายชื่อลูกบ้าน!$A:$B,2,FALSE)</f>
        <v>#N/A</v>
      </c>
      <c r="H386" s="4" t="s">
        <v>420</v>
      </c>
      <c r="I386" s="28">
        <v>3000</v>
      </c>
      <c r="J386" s="28"/>
    </row>
    <row r="387" spans="1:10">
      <c r="A387" s="25">
        <v>242209</v>
      </c>
      <c r="B387" s="26" t="s">
        <v>26</v>
      </c>
      <c r="C387" s="27" t="str">
        <f>VLOOKUP(B387,'Accounts chart'!$A:$B,2,FALSE)</f>
        <v>รายได้ค่าส่วนกลางไม่ทราบชือ</v>
      </c>
      <c r="D387" s="4" t="s">
        <v>734</v>
      </c>
      <c r="E387" s="4" t="s">
        <v>571</v>
      </c>
      <c r="F387" s="4"/>
      <c r="G387" s="4" t="e">
        <f>VLOOKUP(F387,รายชื่อลูกบ้าน!$A:$B,2,FALSE)</f>
        <v>#N/A</v>
      </c>
      <c r="H387" s="4" t="s">
        <v>420</v>
      </c>
      <c r="I387" s="28"/>
      <c r="J387" s="28">
        <v>3000</v>
      </c>
    </row>
    <row r="388" spans="1:10">
      <c r="A388" s="2"/>
      <c r="C388" s="3"/>
      <c r="I388" s="20"/>
      <c r="J388" s="20"/>
    </row>
    <row r="389" spans="1:10">
      <c r="A389" s="2">
        <v>242210</v>
      </c>
      <c r="B389" s="7" t="s">
        <v>2</v>
      </c>
      <c r="C389" s="3" t="str">
        <f>VLOOKUP(B389,'Accounts chart'!$A:$B,2,FALSE)</f>
        <v>ธนาคารกสิกรไทย CA-040-1-57563-4</v>
      </c>
      <c r="D389" t="s">
        <v>923</v>
      </c>
      <c r="H389" t="s">
        <v>788</v>
      </c>
      <c r="I389" s="20">
        <v>200000</v>
      </c>
      <c r="J389" s="20"/>
    </row>
    <row r="390" spans="1:10">
      <c r="A390" s="2">
        <v>242210</v>
      </c>
      <c r="B390" s="7" t="s">
        <v>3</v>
      </c>
      <c r="C390" s="3" t="str">
        <f>VLOOKUP(B390,'Accounts chart'!$A:$B,2,FALSE)</f>
        <v>ธนาคารกสิกรไทย SA-040-1-56500-0</v>
      </c>
      <c r="D390" t="s">
        <v>923</v>
      </c>
      <c r="H390" t="s">
        <v>788</v>
      </c>
      <c r="I390" s="20"/>
      <c r="J390" s="20">
        <v>200000</v>
      </c>
    </row>
    <row r="391" spans="1:10">
      <c r="A391" s="2"/>
      <c r="C391" s="3"/>
      <c r="I391" s="20"/>
      <c r="J391" s="20"/>
    </row>
    <row r="392" spans="1:10">
      <c r="A392" s="2">
        <v>242211</v>
      </c>
      <c r="B392" s="7" t="s">
        <v>3</v>
      </c>
      <c r="C392" s="3" t="str">
        <f>VLOOKUP(B392,'Accounts chart'!$A:$B,2,FALSE)</f>
        <v>ธนาคารกสิกรไทย SA-040-1-56500-0</v>
      </c>
      <c r="D392" t="s">
        <v>735</v>
      </c>
      <c r="E392" t="s">
        <v>572</v>
      </c>
      <c r="F392" t="s">
        <v>260</v>
      </c>
      <c r="G392" t="str">
        <f>VLOOKUP(F392,รายชื่อลูกบ้าน!$A:$B,2,FALSE)</f>
        <v>คุณกัญพิสิษฐ์ ธนเกียรติชูโชติ</v>
      </c>
      <c r="H392" t="s">
        <v>421</v>
      </c>
      <c r="I392" s="23">
        <v>2400</v>
      </c>
    </row>
    <row r="393" spans="1:10">
      <c r="A393" s="2">
        <v>242211</v>
      </c>
      <c r="B393" s="7" t="s">
        <v>3</v>
      </c>
      <c r="C393" s="3" t="str">
        <f>VLOOKUP(B393,'Accounts chart'!$A:$B,2,FALSE)</f>
        <v>ธนาคารกสิกรไทย SA-040-1-56500-0</v>
      </c>
      <c r="D393" t="s">
        <v>735</v>
      </c>
      <c r="E393" t="s">
        <v>573</v>
      </c>
      <c r="F393" t="s">
        <v>251</v>
      </c>
      <c r="G393" t="str">
        <f>VLOOKUP(F393,รายชื่อลูกบ้าน!$A:$B,2,FALSE)</f>
        <v>คุณวิบูลย์ ฤทธิ์ทองพิทักษ์</v>
      </c>
      <c r="H393" t="s">
        <v>385</v>
      </c>
      <c r="I393" s="23">
        <v>600</v>
      </c>
    </row>
    <row r="394" spans="1:10">
      <c r="A394" s="2">
        <v>242211</v>
      </c>
      <c r="B394" s="7" t="s">
        <v>4</v>
      </c>
      <c r="C394" s="3" t="str">
        <f>VLOOKUP(B394,'Accounts chart'!$A:$B,2,FALSE)</f>
        <v>ลูกหนี้ค่าส่วนกลาง</v>
      </c>
      <c r="D394" t="s">
        <v>735</v>
      </c>
      <c r="E394" t="s">
        <v>572</v>
      </c>
      <c r="F394" t="s">
        <v>260</v>
      </c>
      <c r="G394" t="str">
        <f>VLOOKUP(F394,รายชื่อลูกบ้าน!$A:$B,2,FALSE)</f>
        <v>คุณกัญพิสิษฐ์ ธนเกียรติชูโชติ</v>
      </c>
      <c r="H394" t="s">
        <v>421</v>
      </c>
      <c r="J394" s="23">
        <v>2400</v>
      </c>
    </row>
    <row r="395" spans="1:10">
      <c r="A395" s="2">
        <v>242211</v>
      </c>
      <c r="B395" s="7" t="s">
        <v>34</v>
      </c>
      <c r="C395" s="3" t="str">
        <f>VLOOKUP(B395,'Accounts chart'!$A:$B,2,FALSE)</f>
        <v>รายรับค่าส่วนกลาง</v>
      </c>
      <c r="D395" t="s">
        <v>735</v>
      </c>
      <c r="E395" t="s">
        <v>573</v>
      </c>
      <c r="F395" t="s">
        <v>251</v>
      </c>
      <c r="G395" t="str">
        <f>VLOOKUP(F395,รายชื่อลูกบ้าน!$A:$B,2,FALSE)</f>
        <v>คุณวิบูลย์ ฤทธิ์ทองพิทักษ์</v>
      </c>
      <c r="H395" t="s">
        <v>385</v>
      </c>
      <c r="J395" s="23">
        <v>600</v>
      </c>
    </row>
    <row r="396" spans="1:10">
      <c r="A396" s="2"/>
      <c r="C396" s="3"/>
      <c r="I396" s="20"/>
      <c r="J396" s="20"/>
    </row>
    <row r="397" spans="1:10">
      <c r="A397" s="2">
        <v>242213</v>
      </c>
      <c r="B397" s="7" t="s">
        <v>20</v>
      </c>
      <c r="C397" s="3" t="str">
        <f>VLOOKUP(B397,'Accounts chart'!$A:$B,2,FALSE)</f>
        <v>ค่าไฟฟ้าค้างจ่าย</v>
      </c>
      <c r="D397" t="s">
        <v>924</v>
      </c>
      <c r="G397" t="s">
        <v>777</v>
      </c>
      <c r="H397" t="s">
        <v>789</v>
      </c>
      <c r="I397" s="20">
        <v>4863.82</v>
      </c>
      <c r="J397" s="20"/>
    </row>
    <row r="398" spans="1:10">
      <c r="A398" s="2">
        <v>242213</v>
      </c>
      <c r="B398" s="7" t="s">
        <v>2</v>
      </c>
      <c r="C398" s="3" t="str">
        <f>VLOOKUP(B398,'Accounts chart'!$A:$B,2,FALSE)</f>
        <v>ธนาคารกสิกรไทย CA-040-1-57563-4</v>
      </c>
      <c r="D398" t="s">
        <v>924</v>
      </c>
      <c r="G398" t="s">
        <v>777</v>
      </c>
      <c r="H398" t="s">
        <v>789</v>
      </c>
      <c r="I398" s="20"/>
      <c r="J398" s="20">
        <v>4863.82</v>
      </c>
    </row>
    <row r="399" spans="1:10">
      <c r="A399" s="2"/>
      <c r="C399" s="3"/>
      <c r="I399" s="20"/>
      <c r="J399" s="20"/>
    </row>
    <row r="400" spans="1:10">
      <c r="A400" s="2">
        <v>242213</v>
      </c>
      <c r="B400" s="7" t="s">
        <v>24</v>
      </c>
      <c r="C400" s="3" t="str">
        <f>VLOOKUP(B400,'Accounts chart'!$A:$B,2,FALSE)</f>
        <v>ค่าบริการทำบัญชีค้างจ่าย</v>
      </c>
      <c r="D400" t="s">
        <v>925</v>
      </c>
      <c r="G400" t="s">
        <v>790</v>
      </c>
      <c r="H400" t="s">
        <v>791</v>
      </c>
      <c r="I400" s="20">
        <v>30125</v>
      </c>
      <c r="J400" s="20"/>
    </row>
    <row r="401" spans="1:10">
      <c r="A401" s="2">
        <v>242213</v>
      </c>
      <c r="B401" s="7" t="s">
        <v>2</v>
      </c>
      <c r="C401" s="3" t="str">
        <f>VLOOKUP(B401,'Accounts chart'!$A:$B,2,FALSE)</f>
        <v>ธนาคารกสิกรไทย CA-040-1-57563-4</v>
      </c>
      <c r="D401" t="s">
        <v>925</v>
      </c>
      <c r="G401" t="s">
        <v>790</v>
      </c>
      <c r="H401" t="s">
        <v>791</v>
      </c>
      <c r="I401" s="20"/>
      <c r="J401" s="20">
        <v>30125</v>
      </c>
    </row>
    <row r="402" spans="1:10">
      <c r="A402" s="2"/>
      <c r="C402" s="3"/>
      <c r="I402" s="20"/>
      <c r="J402" s="20"/>
    </row>
    <row r="403" spans="1:10">
      <c r="A403" s="2">
        <v>242213</v>
      </c>
      <c r="B403" s="7" t="s">
        <v>3</v>
      </c>
      <c r="C403" s="3" t="str">
        <f>VLOOKUP(B403,'Accounts chart'!$A:$B,2,FALSE)</f>
        <v>ธนาคารกสิกรไทย SA-040-1-56500-0</v>
      </c>
      <c r="D403" t="s">
        <v>736</v>
      </c>
      <c r="E403" t="s">
        <v>574</v>
      </c>
      <c r="F403" t="s">
        <v>362</v>
      </c>
      <c r="G403" t="str">
        <f>VLOOKUP(F403,รายชื่อลูกบ้าน!$A:$B,2,FALSE)</f>
        <v>คุณพีรภัทร์ ศัสตราพฤกษ์</v>
      </c>
      <c r="H403" t="s">
        <v>385</v>
      </c>
      <c r="I403" s="20">
        <v>600</v>
      </c>
      <c r="J403" s="20"/>
    </row>
    <row r="404" spans="1:10">
      <c r="A404" s="2">
        <v>242213</v>
      </c>
      <c r="B404" s="7" t="s">
        <v>3</v>
      </c>
      <c r="C404" s="3" t="str">
        <f>VLOOKUP(B404,'Accounts chart'!$A:$B,2,FALSE)</f>
        <v>ธนาคารกสิกรไทย SA-040-1-56500-0</v>
      </c>
      <c r="D404" t="s">
        <v>736</v>
      </c>
      <c r="E404" t="s">
        <v>575</v>
      </c>
      <c r="F404" t="s">
        <v>105</v>
      </c>
      <c r="G404" t="str">
        <f>VLOOKUP(F404,รายชื่อลูกบ้าน!$A:$B,2,FALSE)</f>
        <v>คุณพงษ์พันธ์ หิรินทรานุกูล</v>
      </c>
      <c r="H404" t="s">
        <v>383</v>
      </c>
      <c r="I404" s="23">
        <v>7200.07</v>
      </c>
    </row>
    <row r="405" spans="1:10">
      <c r="A405" s="2">
        <v>242213</v>
      </c>
      <c r="B405" s="7" t="s">
        <v>3</v>
      </c>
      <c r="C405" s="3" t="str">
        <f>VLOOKUP(B405,'Accounts chart'!$A:$B,2,FALSE)</f>
        <v>ธนาคารกสิกรไทย SA-040-1-56500-0</v>
      </c>
      <c r="D405" t="s">
        <v>736</v>
      </c>
      <c r="E405" t="s">
        <v>576</v>
      </c>
      <c r="F405" t="s">
        <v>174</v>
      </c>
      <c r="G405" t="str">
        <f>VLOOKUP(F405,รายชื่อลูกบ้าน!$A:$B,2,FALSE)</f>
        <v>คุณอารักษ์ กัญฑารัตน์</v>
      </c>
      <c r="H405" t="s">
        <v>383</v>
      </c>
      <c r="I405" s="23">
        <v>7200</v>
      </c>
    </row>
    <row r="406" spans="1:10">
      <c r="A406" s="2">
        <v>242213</v>
      </c>
      <c r="B406" s="7" t="s">
        <v>3</v>
      </c>
      <c r="C406" s="3" t="str">
        <f>VLOOKUP(B406,'Accounts chart'!$A:$B,2,FALSE)</f>
        <v>ธนาคารกสิกรไทย SA-040-1-56500-0</v>
      </c>
      <c r="D406" t="s">
        <v>736</v>
      </c>
      <c r="E406" t="s">
        <v>577</v>
      </c>
      <c r="F406" t="s">
        <v>241</v>
      </c>
      <c r="G406" t="str">
        <f>VLOOKUP(F406,รายชื่อลูกบ้าน!$A:$B,2,FALSE)</f>
        <v>คุณสุกิจ หมื่นยศ</v>
      </c>
      <c r="H406" t="s">
        <v>385</v>
      </c>
      <c r="I406" s="23">
        <v>600</v>
      </c>
    </row>
    <row r="407" spans="1:10">
      <c r="A407" s="2">
        <v>242213</v>
      </c>
      <c r="B407" s="7" t="s">
        <v>3</v>
      </c>
      <c r="C407" s="3" t="str">
        <f>VLOOKUP(B407,'Accounts chart'!$A:$B,2,FALSE)</f>
        <v>ธนาคารกสิกรไทย SA-040-1-56500-0</v>
      </c>
      <c r="D407" t="s">
        <v>736</v>
      </c>
      <c r="E407" t="s">
        <v>578</v>
      </c>
      <c r="F407" t="s">
        <v>182</v>
      </c>
      <c r="G407" t="str">
        <f>VLOOKUP(F407,รายชื่อลูกบ้าน!$A:$B,2,FALSE)</f>
        <v>คุณสิระพัชร์ หน่อแก้ว</v>
      </c>
      <c r="H407" t="s">
        <v>385</v>
      </c>
      <c r="I407" s="23">
        <v>600.53</v>
      </c>
    </row>
    <row r="408" spans="1:10">
      <c r="A408" s="2">
        <v>242213</v>
      </c>
      <c r="B408" s="7" t="s">
        <v>3</v>
      </c>
      <c r="C408" s="3" t="str">
        <f>VLOOKUP(B408,'Accounts chart'!$A:$B,2,FALSE)</f>
        <v>ธนาคารกสิกรไทย SA-040-1-56500-0</v>
      </c>
      <c r="D408" t="s">
        <v>736</v>
      </c>
      <c r="E408" t="s">
        <v>579</v>
      </c>
      <c r="F408" t="s">
        <v>267</v>
      </c>
      <c r="G408" t="str">
        <f>VLOOKUP(F408,รายชื่อลูกบ้าน!$A:$B,2,FALSE)</f>
        <v>คุณดนัย ฮาวต่อมแก้ว</v>
      </c>
      <c r="H408" t="s">
        <v>385</v>
      </c>
      <c r="I408" s="23">
        <v>600</v>
      </c>
    </row>
    <row r="409" spans="1:10">
      <c r="A409" s="2">
        <v>242213</v>
      </c>
      <c r="B409" s="7" t="s">
        <v>3</v>
      </c>
      <c r="C409" s="3" t="str">
        <f>VLOOKUP(B409,'Accounts chart'!$A:$B,2,FALSE)</f>
        <v>ธนาคารกสิกรไทย SA-040-1-56500-0</v>
      </c>
      <c r="D409" t="s">
        <v>736</v>
      </c>
      <c r="E409" t="s">
        <v>580</v>
      </c>
      <c r="F409" t="s">
        <v>213</v>
      </c>
      <c r="G409" t="str">
        <f>VLOOKUP(F409,รายชื่อลูกบ้าน!$A:$B,2,FALSE)</f>
        <v>คุณรัฐพล สุวรรณ</v>
      </c>
      <c r="H409" t="s">
        <v>385</v>
      </c>
      <c r="I409" s="23">
        <v>600</v>
      </c>
    </row>
    <row r="410" spans="1:10">
      <c r="A410" s="2">
        <v>242213</v>
      </c>
      <c r="B410" s="7" t="s">
        <v>3</v>
      </c>
      <c r="C410" s="3" t="str">
        <f>VLOOKUP(B410,'Accounts chart'!$A:$B,2,FALSE)</f>
        <v>ธนาคารกสิกรไทย SA-040-1-56500-0</v>
      </c>
      <c r="D410" t="s">
        <v>736</v>
      </c>
      <c r="E410" t="s">
        <v>581</v>
      </c>
      <c r="F410" t="s">
        <v>213</v>
      </c>
      <c r="G410" t="str">
        <f>VLOOKUP(F410,รายชื่อลูกบ้าน!$A:$B,2,FALSE)</f>
        <v>คุณรัฐพล สุวรรณ</v>
      </c>
      <c r="H410" t="s">
        <v>422</v>
      </c>
      <c r="I410" s="23">
        <v>1200</v>
      </c>
    </row>
    <row r="411" spans="1:10">
      <c r="A411" s="2">
        <v>242213</v>
      </c>
      <c r="B411" s="7" t="s">
        <v>34</v>
      </c>
      <c r="C411" s="3" t="str">
        <f>VLOOKUP(B411,'Accounts chart'!$A:$B,2,FALSE)</f>
        <v>รายรับค่าส่วนกลาง</v>
      </c>
      <c r="D411" t="s">
        <v>736</v>
      </c>
      <c r="E411" t="s">
        <v>574</v>
      </c>
      <c r="F411" t="s">
        <v>362</v>
      </c>
      <c r="G411" t="str">
        <f>VLOOKUP(F411,รายชื่อลูกบ้าน!$A:$B,2,FALSE)</f>
        <v>คุณพีรภัทร์ ศัสตราพฤกษ์</v>
      </c>
      <c r="H411" t="s">
        <v>385</v>
      </c>
      <c r="J411" s="23">
        <v>600</v>
      </c>
    </row>
    <row r="412" spans="1:10">
      <c r="A412" s="2">
        <v>242213</v>
      </c>
      <c r="B412" s="7" t="s">
        <v>4</v>
      </c>
      <c r="C412" s="3" t="str">
        <f>VLOOKUP(B412,'Accounts chart'!$A:$B,2,FALSE)</f>
        <v>ลูกหนี้ค่าส่วนกลาง</v>
      </c>
      <c r="D412" t="s">
        <v>736</v>
      </c>
      <c r="E412" t="s">
        <v>575</v>
      </c>
      <c r="F412" t="s">
        <v>105</v>
      </c>
      <c r="G412" t="str">
        <f>VLOOKUP(F412,รายชื่อลูกบ้าน!$A:$B,2,FALSE)</f>
        <v>คุณพงษ์พันธ์ หิรินทรานุกูล</v>
      </c>
      <c r="H412" t="s">
        <v>383</v>
      </c>
      <c r="J412" s="23">
        <v>3000</v>
      </c>
    </row>
    <row r="413" spans="1:10">
      <c r="A413" s="2">
        <v>242213</v>
      </c>
      <c r="B413" s="7" t="s">
        <v>34</v>
      </c>
      <c r="C413" s="3" t="str">
        <f>VLOOKUP(B413,'Accounts chart'!$A:$B,2,FALSE)</f>
        <v>รายรับค่าส่วนกลาง</v>
      </c>
      <c r="D413" t="s">
        <v>736</v>
      </c>
      <c r="E413" t="s">
        <v>575</v>
      </c>
      <c r="F413" t="s">
        <v>105</v>
      </c>
      <c r="G413" t="str">
        <f>VLOOKUP(F413,รายชื่อลูกบ้าน!$A:$B,2,FALSE)</f>
        <v>คุณพงษ์พันธ์ หิรินทรานุกูล</v>
      </c>
      <c r="H413" t="s">
        <v>383</v>
      </c>
      <c r="J413" s="23">
        <f>7200.07-3000</f>
        <v>4200.07</v>
      </c>
    </row>
    <row r="414" spans="1:10">
      <c r="A414" s="2">
        <v>242213</v>
      </c>
      <c r="B414" s="7" t="s">
        <v>394</v>
      </c>
      <c r="C414" s="3" t="str">
        <f>VLOOKUP(B414,'Accounts chart'!$A:$B,2,FALSE)</f>
        <v>ค่าดูแลส่วนกลางรับล่วงหน้า</v>
      </c>
      <c r="D414" t="s">
        <v>736</v>
      </c>
      <c r="E414" t="s">
        <v>576</v>
      </c>
      <c r="F414" t="s">
        <v>174</v>
      </c>
      <c r="G414" t="str">
        <f>VLOOKUP(F414,รายชื่อลูกบ้าน!$A:$B,2,FALSE)</f>
        <v>คุณอารักษ์ กัญฑารัตน์</v>
      </c>
      <c r="J414" s="23">
        <v>200</v>
      </c>
    </row>
    <row r="415" spans="1:10">
      <c r="A415" s="2">
        <v>242213</v>
      </c>
      <c r="B415" s="7" t="s">
        <v>34</v>
      </c>
      <c r="C415" s="3" t="str">
        <f>VLOOKUP(B415,'Accounts chart'!$A:$B,2,FALSE)</f>
        <v>รายรับค่าส่วนกลาง</v>
      </c>
      <c r="D415" t="s">
        <v>736</v>
      </c>
      <c r="E415" t="s">
        <v>576</v>
      </c>
      <c r="F415" t="s">
        <v>174</v>
      </c>
      <c r="G415" t="str">
        <f>VLOOKUP(F415,รายชื่อลูกบ้าน!$A:$B,2,FALSE)</f>
        <v>คุณอารักษ์ กัญฑารัตน์</v>
      </c>
      <c r="H415" t="s">
        <v>383</v>
      </c>
      <c r="J415" s="23">
        <v>7000</v>
      </c>
    </row>
    <row r="416" spans="1:10">
      <c r="A416" s="2">
        <v>242213</v>
      </c>
      <c r="B416" s="7" t="s">
        <v>34</v>
      </c>
      <c r="C416" s="3" t="str">
        <f>VLOOKUP(B416,'Accounts chart'!$A:$B,2,FALSE)</f>
        <v>รายรับค่าส่วนกลาง</v>
      </c>
      <c r="D416" t="s">
        <v>736</v>
      </c>
      <c r="E416" t="s">
        <v>577</v>
      </c>
      <c r="F416" t="s">
        <v>241</v>
      </c>
      <c r="G416" t="str">
        <f>VLOOKUP(F416,รายชื่อลูกบ้าน!$A:$B,2,FALSE)</f>
        <v>คุณสุกิจ หมื่นยศ</v>
      </c>
      <c r="H416" t="s">
        <v>385</v>
      </c>
      <c r="J416" s="23">
        <v>600</v>
      </c>
    </row>
    <row r="417" spans="1:10">
      <c r="A417" s="2">
        <v>242213</v>
      </c>
      <c r="B417" s="7" t="s">
        <v>34</v>
      </c>
      <c r="C417" s="3" t="str">
        <f>VLOOKUP(B417,'Accounts chart'!$A:$B,2,FALSE)</f>
        <v>รายรับค่าส่วนกลาง</v>
      </c>
      <c r="D417" t="s">
        <v>736</v>
      </c>
      <c r="E417" t="s">
        <v>578</v>
      </c>
      <c r="F417" t="s">
        <v>182</v>
      </c>
      <c r="G417" t="str">
        <f>VLOOKUP(F417,รายชื่อลูกบ้าน!$A:$B,2,FALSE)</f>
        <v>คุณสิระพัชร์ หน่อแก้ว</v>
      </c>
      <c r="H417" t="s">
        <v>385</v>
      </c>
      <c r="J417" s="23">
        <v>600.53</v>
      </c>
    </row>
    <row r="418" spans="1:10">
      <c r="A418" s="2">
        <v>242213</v>
      </c>
      <c r="B418" s="7" t="s">
        <v>34</v>
      </c>
      <c r="C418" s="3" t="str">
        <f>VLOOKUP(B418,'Accounts chart'!$A:$B,2,FALSE)</f>
        <v>รายรับค่าส่วนกลาง</v>
      </c>
      <c r="D418" t="s">
        <v>736</v>
      </c>
      <c r="E418" t="s">
        <v>579</v>
      </c>
      <c r="F418" t="s">
        <v>267</v>
      </c>
      <c r="G418" t="str">
        <f>VLOOKUP(F418,รายชื่อลูกบ้าน!$A:$B,2,FALSE)</f>
        <v>คุณดนัย ฮาวต่อมแก้ว</v>
      </c>
      <c r="H418" t="s">
        <v>385</v>
      </c>
      <c r="J418" s="23">
        <v>600</v>
      </c>
    </row>
    <row r="419" spans="1:10">
      <c r="A419" s="2">
        <v>242213</v>
      </c>
      <c r="B419" s="7" t="s">
        <v>34</v>
      </c>
      <c r="C419" s="3" t="str">
        <f>VLOOKUP(B419,'Accounts chart'!$A:$B,2,FALSE)</f>
        <v>รายรับค่าส่วนกลาง</v>
      </c>
      <c r="D419" t="s">
        <v>736</v>
      </c>
      <c r="E419" t="s">
        <v>580</v>
      </c>
      <c r="F419" t="s">
        <v>213</v>
      </c>
      <c r="G419" t="str">
        <f>VLOOKUP(F419,รายชื่อลูกบ้าน!$A:$B,2,FALSE)</f>
        <v>คุณรัฐพล สุวรรณ</v>
      </c>
      <c r="H419" t="s">
        <v>385</v>
      </c>
      <c r="J419" s="23">
        <v>600</v>
      </c>
    </row>
    <row r="420" spans="1:10">
      <c r="A420" s="2">
        <v>242213</v>
      </c>
      <c r="B420" s="7" t="s">
        <v>34</v>
      </c>
      <c r="C420" s="3" t="str">
        <f>VLOOKUP(B420,'Accounts chart'!$A:$B,2,FALSE)</f>
        <v>รายรับค่าส่วนกลาง</v>
      </c>
      <c r="D420" t="s">
        <v>736</v>
      </c>
      <c r="E420" t="s">
        <v>581</v>
      </c>
      <c r="F420" t="s">
        <v>213</v>
      </c>
      <c r="G420" t="str">
        <f>VLOOKUP(F420,รายชื่อลูกบ้าน!$A:$B,2,FALSE)</f>
        <v>คุณรัฐพล สุวรรณ</v>
      </c>
      <c r="H420" t="s">
        <v>422</v>
      </c>
      <c r="J420" s="23">
        <v>1200</v>
      </c>
    </row>
    <row r="421" spans="1:10">
      <c r="A421" s="2"/>
      <c r="C421" s="3"/>
    </row>
    <row r="422" spans="1:10">
      <c r="A422" s="2"/>
      <c r="C422" s="3"/>
    </row>
    <row r="423" spans="1:10">
      <c r="A423" s="2">
        <v>242214</v>
      </c>
      <c r="B423" s="7" t="s">
        <v>3</v>
      </c>
      <c r="C423" s="3" t="str">
        <f>VLOOKUP(B423,'Accounts chart'!$A:$B,2,FALSE)</f>
        <v>ธนาคารกสิกรไทย SA-040-1-56500-0</v>
      </c>
      <c r="D423" t="s">
        <v>737</v>
      </c>
      <c r="E423" t="s">
        <v>582</v>
      </c>
      <c r="F423" t="s">
        <v>156</v>
      </c>
      <c r="G423" t="str">
        <f>VLOOKUP(F423,รายชื่อลูกบ้าน!$A:$B,2,FALSE)</f>
        <v>คุณบุญชู ขาวคม</v>
      </c>
      <c r="H423" t="s">
        <v>423</v>
      </c>
      <c r="I423" s="23">
        <v>3600</v>
      </c>
    </row>
    <row r="424" spans="1:10">
      <c r="A424" s="2">
        <v>242215</v>
      </c>
      <c r="B424" s="7" t="s">
        <v>3</v>
      </c>
      <c r="C424" s="3" t="str">
        <f>VLOOKUP(B424,'Accounts chart'!$A:$B,2,FALSE)</f>
        <v>ธนาคารกสิกรไทย SA-040-1-56500-0</v>
      </c>
      <c r="D424" t="s">
        <v>737</v>
      </c>
      <c r="E424" t="s">
        <v>583</v>
      </c>
      <c r="F424" t="s">
        <v>201</v>
      </c>
      <c r="G424" t="str">
        <f>VLOOKUP(F424,รายชื่อลูกบ้าน!$A:$B,2,FALSE)</f>
        <v>คุณณัฐธีร์ เลิศรัตน์วัฒนา</v>
      </c>
      <c r="H424" t="s">
        <v>385</v>
      </c>
      <c r="I424" s="23">
        <v>600</v>
      </c>
    </row>
    <row r="425" spans="1:10">
      <c r="A425" s="2">
        <v>242215</v>
      </c>
      <c r="B425" s="7" t="s">
        <v>3</v>
      </c>
      <c r="C425" s="3" t="str">
        <f>VLOOKUP(B425,'Accounts chart'!$A:$B,2,FALSE)</f>
        <v>ธนาคารกสิกรไทย SA-040-1-56500-0</v>
      </c>
      <c r="D425" t="s">
        <v>737</v>
      </c>
      <c r="E425" t="s">
        <v>584</v>
      </c>
      <c r="F425" t="s">
        <v>134</v>
      </c>
      <c r="G425" t="str">
        <f>VLOOKUP(F425,รายชื่อลูกบ้าน!$A:$B,2,FALSE)</f>
        <v>คุณอวยชัย ลีขสวัสดิ์</v>
      </c>
      <c r="H425" t="s">
        <v>385</v>
      </c>
      <c r="I425" s="23">
        <v>600</v>
      </c>
    </row>
    <row r="426" spans="1:10">
      <c r="A426" s="2">
        <v>242215</v>
      </c>
      <c r="B426" s="7" t="s">
        <v>3</v>
      </c>
      <c r="C426" s="3" t="str">
        <f>VLOOKUP(B426,'Accounts chart'!$A:$B,2,FALSE)</f>
        <v>ธนาคารกสิกรไทย SA-040-1-56500-0</v>
      </c>
      <c r="D426" t="s">
        <v>737</v>
      </c>
      <c r="E426" t="s">
        <v>585</v>
      </c>
      <c r="F426" t="s">
        <v>173</v>
      </c>
      <c r="G426" t="str">
        <f>VLOOKUP(F426,รายชื่อลูกบ้าน!$A:$B,2,FALSE)</f>
        <v>คุณพิริยะ ทรัพย์เจริญ-คุณเยาวเรศ โกสุมพิทักษ์</v>
      </c>
      <c r="H426" t="s">
        <v>385</v>
      </c>
      <c r="I426" s="23">
        <v>600</v>
      </c>
    </row>
    <row r="427" spans="1:10">
      <c r="A427" s="2">
        <v>242214</v>
      </c>
      <c r="B427" s="7" t="s">
        <v>34</v>
      </c>
      <c r="C427" s="3" t="str">
        <f>VLOOKUP(B427,'Accounts chart'!$A:$B,2,FALSE)</f>
        <v>รายรับค่าส่วนกลาง</v>
      </c>
      <c r="D427" t="s">
        <v>737</v>
      </c>
      <c r="E427" t="s">
        <v>582</v>
      </c>
      <c r="F427" t="s">
        <v>156</v>
      </c>
      <c r="G427" t="str">
        <f>VLOOKUP(F427,รายชื่อลูกบ้าน!$A:$B,2,FALSE)</f>
        <v>คุณบุญชู ขาวคม</v>
      </c>
      <c r="H427" t="s">
        <v>423</v>
      </c>
      <c r="J427" s="23">
        <v>3600</v>
      </c>
    </row>
    <row r="428" spans="1:10">
      <c r="A428" s="2">
        <v>242215</v>
      </c>
      <c r="B428" s="7" t="s">
        <v>34</v>
      </c>
      <c r="C428" s="3" t="str">
        <f>VLOOKUP(B428,'Accounts chart'!$A:$B,2,FALSE)</f>
        <v>รายรับค่าส่วนกลาง</v>
      </c>
      <c r="D428" t="s">
        <v>737</v>
      </c>
      <c r="E428" t="s">
        <v>583</v>
      </c>
      <c r="F428" t="s">
        <v>201</v>
      </c>
      <c r="G428" t="str">
        <f>VLOOKUP(F428,รายชื่อลูกบ้าน!$A:$B,2,FALSE)</f>
        <v>คุณณัฐธีร์ เลิศรัตน์วัฒนา</v>
      </c>
      <c r="H428" t="s">
        <v>385</v>
      </c>
      <c r="J428" s="23">
        <v>600</v>
      </c>
    </row>
    <row r="429" spans="1:10">
      <c r="A429" s="2">
        <v>242215</v>
      </c>
      <c r="B429" s="7" t="s">
        <v>34</v>
      </c>
      <c r="C429" s="3" t="str">
        <f>VLOOKUP(B429,'Accounts chart'!$A:$B,2,FALSE)</f>
        <v>รายรับค่าส่วนกลาง</v>
      </c>
      <c r="D429" t="s">
        <v>737</v>
      </c>
      <c r="E429" t="s">
        <v>584</v>
      </c>
      <c r="F429" t="s">
        <v>134</v>
      </c>
      <c r="G429" t="str">
        <f>VLOOKUP(F429,รายชื่อลูกบ้าน!$A:$B,2,FALSE)</f>
        <v>คุณอวยชัย ลีขสวัสดิ์</v>
      </c>
      <c r="H429" t="s">
        <v>385</v>
      </c>
      <c r="J429" s="23">
        <v>600</v>
      </c>
    </row>
    <row r="430" spans="1:10">
      <c r="A430" s="2">
        <v>242215</v>
      </c>
      <c r="B430" s="7" t="s">
        <v>34</v>
      </c>
      <c r="C430" s="3" t="str">
        <f>VLOOKUP(B430,'Accounts chart'!$A:$B,2,FALSE)</f>
        <v>รายรับค่าส่วนกลาง</v>
      </c>
      <c r="D430" t="s">
        <v>737</v>
      </c>
      <c r="E430" t="s">
        <v>585</v>
      </c>
      <c r="F430" t="s">
        <v>173</v>
      </c>
      <c r="G430" t="str">
        <f>VLOOKUP(F430,รายชื่อลูกบ้าน!$A:$B,2,FALSE)</f>
        <v>คุณพิริยะ ทรัพย์เจริญ-คุณเยาวเรศ โกสุมพิทักษ์</v>
      </c>
      <c r="H430" t="s">
        <v>385</v>
      </c>
      <c r="J430" s="23">
        <v>600</v>
      </c>
    </row>
    <row r="431" spans="1:10">
      <c r="A431" s="2"/>
      <c r="C431" s="3"/>
      <c r="I431" s="20"/>
      <c r="J431" s="20"/>
    </row>
    <row r="432" spans="1:10">
      <c r="A432" s="2">
        <v>242215</v>
      </c>
      <c r="B432" s="7" t="s">
        <v>8</v>
      </c>
      <c r="C432" s="3" t="str">
        <f>VLOOKUP(B432,'Accounts chart'!$A:$B,2,FALSE)</f>
        <v>เงินทดลองจ่าย (สำรองจ่าย)</v>
      </c>
      <c r="D432" t="s">
        <v>926</v>
      </c>
      <c r="G432" t="s">
        <v>792</v>
      </c>
      <c r="H432" t="s">
        <v>793</v>
      </c>
      <c r="I432" s="20">
        <v>10000</v>
      </c>
      <c r="J432" s="20"/>
    </row>
    <row r="433" spans="1:10">
      <c r="A433" s="2">
        <v>242215</v>
      </c>
      <c r="B433" s="7" t="s">
        <v>2</v>
      </c>
      <c r="C433" s="3" t="str">
        <f>VLOOKUP(B433,'Accounts chart'!$A:$B,2,FALSE)</f>
        <v>ธนาคารกสิกรไทย CA-040-1-57563-4</v>
      </c>
      <c r="D433" t="s">
        <v>926</v>
      </c>
      <c r="G433" t="s">
        <v>792</v>
      </c>
      <c r="H433" t="s">
        <v>793</v>
      </c>
      <c r="I433" s="20"/>
      <c r="J433" s="20">
        <v>10000</v>
      </c>
    </row>
    <row r="434" spans="1:10">
      <c r="A434" s="2"/>
      <c r="C434" s="3"/>
      <c r="I434" s="20"/>
      <c r="J434" s="20"/>
    </row>
    <row r="435" spans="1:10">
      <c r="A435" s="2">
        <v>242216</v>
      </c>
      <c r="B435" s="7" t="s">
        <v>3</v>
      </c>
      <c r="C435" s="3" t="str">
        <f>VLOOKUP(B435,'Accounts chart'!$A:$B,2,FALSE)</f>
        <v>ธนาคารกสิกรไทย SA-040-1-56500-0</v>
      </c>
      <c r="D435" t="s">
        <v>738</v>
      </c>
      <c r="E435" t="s">
        <v>586</v>
      </c>
      <c r="F435" t="s">
        <v>323</v>
      </c>
      <c r="G435" t="str">
        <f>VLOOKUP(F435,รายชื่อลูกบ้าน!$A:$B,2,FALSE)</f>
        <v>คุณเกียงไกร ไชยเดช</v>
      </c>
      <c r="H435" t="s">
        <v>385</v>
      </c>
      <c r="I435" s="23">
        <v>600</v>
      </c>
    </row>
    <row r="436" spans="1:10">
      <c r="A436" s="2">
        <v>242216</v>
      </c>
      <c r="B436" s="7" t="s">
        <v>3</v>
      </c>
      <c r="C436" s="3" t="str">
        <f>VLOOKUP(B436,'Accounts chart'!$A:$B,2,FALSE)</f>
        <v>ธนาคารกสิกรไทย SA-040-1-56500-0</v>
      </c>
      <c r="D436" t="s">
        <v>738</v>
      </c>
      <c r="E436" t="s">
        <v>587</v>
      </c>
      <c r="F436" t="s">
        <v>285</v>
      </c>
      <c r="G436" t="str">
        <f>VLOOKUP(F436,รายชื่อลูกบ้าน!$A:$B,2,FALSE)</f>
        <v>คุณประจักษ์ เนื่องละออ-คุณวนิดา เส็งนิสัย</v>
      </c>
      <c r="H436" t="s">
        <v>385</v>
      </c>
      <c r="I436" s="23">
        <v>601.12</v>
      </c>
    </row>
    <row r="437" spans="1:10">
      <c r="A437" s="2">
        <v>242216</v>
      </c>
      <c r="B437" s="7" t="s">
        <v>3</v>
      </c>
      <c r="C437" s="3" t="str">
        <f>VLOOKUP(B437,'Accounts chart'!$A:$B,2,FALSE)</f>
        <v>ธนาคารกสิกรไทย SA-040-1-56500-0</v>
      </c>
      <c r="D437" t="s">
        <v>738</v>
      </c>
      <c r="E437" t="s">
        <v>588</v>
      </c>
      <c r="F437" t="s">
        <v>101</v>
      </c>
      <c r="G437" t="str">
        <f>VLOOKUP(F437,รายชื่อลูกบ้าน!$A:$B,2,FALSE)</f>
        <v>คุณเฉลิมเกียรติ และนางนันริญา ราชนาจันทร์</v>
      </c>
      <c r="H437" t="s">
        <v>385</v>
      </c>
      <c r="I437" s="23">
        <v>600</v>
      </c>
    </row>
    <row r="438" spans="1:10">
      <c r="A438" s="2">
        <v>242216</v>
      </c>
      <c r="B438" s="7" t="s">
        <v>3</v>
      </c>
      <c r="C438" s="3" t="str">
        <f>VLOOKUP(B438,'Accounts chart'!$A:$B,2,FALSE)</f>
        <v>ธนาคารกสิกรไทย SA-040-1-56500-0</v>
      </c>
      <c r="D438" t="s">
        <v>738</v>
      </c>
      <c r="E438" t="s">
        <v>589</v>
      </c>
      <c r="F438" t="s">
        <v>187</v>
      </c>
      <c r="G438" t="str">
        <f>VLOOKUP(F438,รายชื่อลูกบ้าน!$A:$B,2,FALSE)</f>
        <v>นายญัชพล ภู่ถาวร</v>
      </c>
      <c r="H438" t="s">
        <v>424</v>
      </c>
      <c r="I438" s="23">
        <v>600</v>
      </c>
    </row>
    <row r="439" spans="1:10">
      <c r="A439" s="2">
        <v>242216</v>
      </c>
      <c r="B439" s="7" t="s">
        <v>34</v>
      </c>
      <c r="C439" s="3" t="str">
        <f>VLOOKUP(B439,'Accounts chart'!$A:$B,2,FALSE)</f>
        <v>รายรับค่าส่วนกลาง</v>
      </c>
      <c r="D439" t="s">
        <v>738</v>
      </c>
      <c r="E439" t="s">
        <v>586</v>
      </c>
      <c r="F439" t="s">
        <v>323</v>
      </c>
      <c r="G439" t="str">
        <f>VLOOKUP(F439,รายชื่อลูกบ้าน!$A:$B,2,FALSE)</f>
        <v>คุณเกียงไกร ไชยเดช</v>
      </c>
      <c r="H439" t="s">
        <v>385</v>
      </c>
      <c r="J439" s="23">
        <v>600</v>
      </c>
    </row>
    <row r="440" spans="1:10">
      <c r="A440" s="2">
        <v>242216</v>
      </c>
      <c r="B440" s="7" t="s">
        <v>34</v>
      </c>
      <c r="C440" s="3" t="str">
        <f>VLOOKUP(B440,'Accounts chart'!$A:$B,2,FALSE)</f>
        <v>รายรับค่าส่วนกลาง</v>
      </c>
      <c r="D440" t="s">
        <v>738</v>
      </c>
      <c r="E440" t="s">
        <v>587</v>
      </c>
      <c r="F440" t="s">
        <v>285</v>
      </c>
      <c r="G440" t="str">
        <f>VLOOKUP(F440,รายชื่อลูกบ้าน!$A:$B,2,FALSE)</f>
        <v>คุณประจักษ์ เนื่องละออ-คุณวนิดา เส็งนิสัย</v>
      </c>
      <c r="H440" t="s">
        <v>385</v>
      </c>
      <c r="J440" s="23">
        <v>601.12</v>
      </c>
    </row>
    <row r="441" spans="1:10">
      <c r="A441" s="2">
        <v>242216</v>
      </c>
      <c r="B441" s="7" t="s">
        <v>34</v>
      </c>
      <c r="C441" s="3" t="str">
        <f>VLOOKUP(B441,'Accounts chart'!$A:$B,2,FALSE)</f>
        <v>รายรับค่าส่วนกลาง</v>
      </c>
      <c r="D441" t="s">
        <v>738</v>
      </c>
      <c r="E441" t="s">
        <v>588</v>
      </c>
      <c r="F441" t="s">
        <v>101</v>
      </c>
      <c r="G441" t="str">
        <f>VLOOKUP(F441,รายชื่อลูกบ้าน!$A:$B,2,FALSE)</f>
        <v>คุณเฉลิมเกียรติ และนางนันริญา ราชนาจันทร์</v>
      </c>
      <c r="H441" t="s">
        <v>385</v>
      </c>
      <c r="J441" s="23">
        <v>600</v>
      </c>
    </row>
    <row r="442" spans="1:10">
      <c r="A442" s="2">
        <v>242216</v>
      </c>
      <c r="B442" s="7" t="s">
        <v>34</v>
      </c>
      <c r="C442" s="3" t="str">
        <f>VLOOKUP(B442,'Accounts chart'!$A:$B,2,FALSE)</f>
        <v>รายรับค่าส่วนกลาง</v>
      </c>
      <c r="D442" t="s">
        <v>738</v>
      </c>
      <c r="E442" t="s">
        <v>589</v>
      </c>
      <c r="F442" t="s">
        <v>187</v>
      </c>
      <c r="G442" t="str">
        <f>VLOOKUP(F442,รายชื่อลูกบ้าน!$A:$B,2,FALSE)</f>
        <v>นายญัชพล ภู่ถาวร</v>
      </c>
      <c r="H442" t="s">
        <v>424</v>
      </c>
      <c r="J442" s="23">
        <v>600</v>
      </c>
    </row>
    <row r="443" spans="1:10">
      <c r="A443" s="2"/>
      <c r="C443" s="3"/>
    </row>
    <row r="444" spans="1:10">
      <c r="A444" s="2" t="s">
        <v>411</v>
      </c>
      <c r="B444" s="7" t="s">
        <v>3</v>
      </c>
      <c r="C444" s="3" t="str">
        <f>VLOOKUP(B444,'Accounts chart'!$A:$B,2,FALSE)</f>
        <v>ธนาคารกสิกรไทย SA-040-1-56500-0</v>
      </c>
      <c r="D444" t="s">
        <v>739</v>
      </c>
      <c r="E444" t="s">
        <v>590</v>
      </c>
      <c r="F444" t="s">
        <v>195</v>
      </c>
      <c r="G444" t="str">
        <f>VLOOKUP(F444,รายชื่อลูกบ้าน!$A:$B,2,FALSE)</f>
        <v>คุณชานนท์ นนทรังษี</v>
      </c>
      <c r="H444" t="s">
        <v>385</v>
      </c>
      <c r="I444" s="23">
        <v>600</v>
      </c>
    </row>
    <row r="445" spans="1:10">
      <c r="A445" s="2" t="s">
        <v>411</v>
      </c>
      <c r="B445" s="7" t="s">
        <v>3</v>
      </c>
      <c r="C445" s="3" t="str">
        <f>VLOOKUP(B445,'Accounts chart'!$A:$B,2,FALSE)</f>
        <v>ธนาคารกสิกรไทย SA-040-1-56500-0</v>
      </c>
      <c r="D445" t="s">
        <v>739</v>
      </c>
      <c r="E445" t="s">
        <v>591</v>
      </c>
      <c r="F445" t="s">
        <v>143</v>
      </c>
      <c r="G445" t="str">
        <f>VLOOKUP(F445,รายชื่อลูกบ้าน!$A:$B,2,FALSE)</f>
        <v>คุณศิริพร นามวงษ์</v>
      </c>
      <c r="H445" t="s">
        <v>412</v>
      </c>
      <c r="I445" s="23">
        <v>1200</v>
      </c>
    </row>
    <row r="446" spans="1:10">
      <c r="A446" s="2" t="s">
        <v>411</v>
      </c>
      <c r="B446" s="7" t="s">
        <v>3</v>
      </c>
      <c r="C446" s="3" t="str">
        <f>VLOOKUP(B446,'Accounts chart'!$A:$B,2,FALSE)</f>
        <v>ธนาคารกสิกรไทย SA-040-1-56500-0</v>
      </c>
      <c r="D446" t="s">
        <v>739</v>
      </c>
      <c r="E446" t="s">
        <v>592</v>
      </c>
      <c r="F446" t="s">
        <v>364</v>
      </c>
      <c r="G446" t="str">
        <f>VLOOKUP(F446,รายชื่อลูกบ้าน!$A:$B,2,FALSE)</f>
        <v>คุณกิตติ แสวงภาค</v>
      </c>
      <c r="H446" t="s">
        <v>424</v>
      </c>
      <c r="I446" s="23">
        <v>600</v>
      </c>
    </row>
    <row r="447" spans="1:10">
      <c r="A447" s="2" t="s">
        <v>411</v>
      </c>
      <c r="B447" s="7" t="s">
        <v>3</v>
      </c>
      <c r="C447" s="3" t="str">
        <f>VLOOKUP(B447,'Accounts chart'!$A:$B,2,FALSE)</f>
        <v>ธนาคารกสิกรไทย SA-040-1-56500-0</v>
      </c>
      <c r="D447" t="s">
        <v>739</v>
      </c>
      <c r="E447" t="s">
        <v>593</v>
      </c>
      <c r="F447" t="s">
        <v>339</v>
      </c>
      <c r="G447" t="str">
        <f>VLOOKUP(F447,รายชื่อลูกบ้าน!$A:$B,2,FALSE)</f>
        <v>คุณภควัต สันหนองเมือง</v>
      </c>
      <c r="H447" t="s">
        <v>385</v>
      </c>
      <c r="I447" s="23">
        <v>600</v>
      </c>
    </row>
    <row r="448" spans="1:10">
      <c r="A448" s="2" t="s">
        <v>411</v>
      </c>
      <c r="B448" s="7" t="s">
        <v>3</v>
      </c>
      <c r="C448" s="3" t="str">
        <f>VLOOKUP(B448,'Accounts chart'!$A:$B,2,FALSE)</f>
        <v>ธนาคารกสิกรไทย SA-040-1-56500-0</v>
      </c>
      <c r="D448" t="s">
        <v>739</v>
      </c>
      <c r="E448" t="s">
        <v>594</v>
      </c>
      <c r="F448" t="s">
        <v>233</v>
      </c>
      <c r="G448" t="str">
        <f>VLOOKUP(F448,รายชื่อลูกบ้าน!$A:$B,2,FALSE)</f>
        <v>คุณวิทยา วัดเข้าหลาม</v>
      </c>
      <c r="H448" t="s">
        <v>424</v>
      </c>
      <c r="I448" s="23">
        <v>600</v>
      </c>
    </row>
    <row r="449" spans="1:10">
      <c r="A449" s="2" t="s">
        <v>411</v>
      </c>
      <c r="B449" s="7" t="s">
        <v>34</v>
      </c>
      <c r="C449" s="3" t="str">
        <f>VLOOKUP(B449,'Accounts chart'!$A:$B,2,FALSE)</f>
        <v>รายรับค่าส่วนกลาง</v>
      </c>
      <c r="D449" t="s">
        <v>739</v>
      </c>
      <c r="E449" t="s">
        <v>590</v>
      </c>
      <c r="F449" t="s">
        <v>195</v>
      </c>
      <c r="G449" t="str">
        <f>VLOOKUP(F449,รายชื่อลูกบ้าน!$A:$B,2,FALSE)</f>
        <v>คุณชานนท์ นนทรังษี</v>
      </c>
      <c r="H449" t="s">
        <v>385</v>
      </c>
      <c r="J449" s="23">
        <v>600</v>
      </c>
    </row>
    <row r="450" spans="1:10">
      <c r="A450" s="2" t="s">
        <v>411</v>
      </c>
      <c r="B450" s="7" t="s">
        <v>34</v>
      </c>
      <c r="C450" s="3" t="str">
        <f>VLOOKUP(B450,'Accounts chart'!$A:$B,2,FALSE)</f>
        <v>รายรับค่าส่วนกลาง</v>
      </c>
      <c r="D450" t="s">
        <v>739</v>
      </c>
      <c r="E450" t="s">
        <v>591</v>
      </c>
      <c r="F450" t="s">
        <v>143</v>
      </c>
      <c r="G450" t="str">
        <f>VLOOKUP(F450,รายชื่อลูกบ้าน!$A:$B,2,FALSE)</f>
        <v>คุณศิริพร นามวงษ์</v>
      </c>
      <c r="H450" t="s">
        <v>412</v>
      </c>
      <c r="J450" s="23">
        <v>1200</v>
      </c>
    </row>
    <row r="451" spans="1:10">
      <c r="A451" s="2" t="s">
        <v>411</v>
      </c>
      <c r="B451" s="7" t="s">
        <v>34</v>
      </c>
      <c r="C451" s="3" t="str">
        <f>VLOOKUP(B451,'Accounts chart'!$A:$B,2,FALSE)</f>
        <v>รายรับค่าส่วนกลาง</v>
      </c>
      <c r="D451" t="s">
        <v>739</v>
      </c>
      <c r="E451" t="s">
        <v>592</v>
      </c>
      <c r="F451" t="s">
        <v>364</v>
      </c>
      <c r="G451" t="str">
        <f>VLOOKUP(F451,รายชื่อลูกบ้าน!$A:$B,2,FALSE)</f>
        <v>คุณกิตติ แสวงภาค</v>
      </c>
      <c r="H451" t="s">
        <v>424</v>
      </c>
      <c r="J451" s="23">
        <v>600</v>
      </c>
    </row>
    <row r="452" spans="1:10">
      <c r="A452" s="2" t="s">
        <v>411</v>
      </c>
      <c r="B452" s="7" t="s">
        <v>34</v>
      </c>
      <c r="C452" s="3" t="str">
        <f>VLOOKUP(B452,'Accounts chart'!$A:$B,2,FALSE)</f>
        <v>รายรับค่าส่วนกลาง</v>
      </c>
      <c r="D452" t="s">
        <v>739</v>
      </c>
      <c r="E452" t="s">
        <v>593</v>
      </c>
      <c r="F452" t="s">
        <v>339</v>
      </c>
      <c r="G452" t="str">
        <f>VLOOKUP(F452,รายชื่อลูกบ้าน!$A:$B,2,FALSE)</f>
        <v>คุณภควัต สันหนองเมือง</v>
      </c>
      <c r="H452" t="s">
        <v>385</v>
      </c>
      <c r="J452" s="23">
        <v>600</v>
      </c>
    </row>
    <row r="453" spans="1:10">
      <c r="A453" s="2" t="s">
        <v>411</v>
      </c>
      <c r="B453" s="7" t="s">
        <v>34</v>
      </c>
      <c r="C453" s="3" t="str">
        <f>VLOOKUP(B453,'Accounts chart'!$A:$B,2,FALSE)</f>
        <v>รายรับค่าส่วนกลาง</v>
      </c>
      <c r="D453" t="s">
        <v>739</v>
      </c>
      <c r="E453" t="s">
        <v>594</v>
      </c>
      <c r="F453" t="s">
        <v>233</v>
      </c>
      <c r="G453" t="str">
        <f>VLOOKUP(F453,รายชื่อลูกบ้าน!$A:$B,2,FALSE)</f>
        <v>คุณวิทยา วัดเข้าหลาม</v>
      </c>
      <c r="H453" t="s">
        <v>424</v>
      </c>
      <c r="J453" s="23">
        <v>600</v>
      </c>
    </row>
    <row r="455" spans="1:10">
      <c r="A455" s="2" t="s">
        <v>411</v>
      </c>
      <c r="B455" s="7" t="s">
        <v>46</v>
      </c>
      <c r="C455" s="3" t="str">
        <f>VLOOKUP(B455,'Accounts chart'!$A:$B,2,FALSE)</f>
        <v>ค่าดูแลส่วนกลาง</v>
      </c>
      <c r="D455" t="s">
        <v>961</v>
      </c>
      <c r="H455" t="s">
        <v>964</v>
      </c>
      <c r="I455" s="23">
        <v>15000</v>
      </c>
    </row>
    <row r="456" spans="1:10">
      <c r="A456" s="2" t="s">
        <v>411</v>
      </c>
      <c r="B456" s="7" t="s">
        <v>48</v>
      </c>
      <c r="C456" s="3" t="str">
        <f>VLOOKUP(B456,'Accounts chart'!$A:$B,2,FALSE)</f>
        <v>ค่ารักษาความปลอดภัย</v>
      </c>
      <c r="D456" t="s">
        <v>961</v>
      </c>
      <c r="H456" t="s">
        <v>964</v>
      </c>
      <c r="I456" s="23">
        <v>38814.32</v>
      </c>
    </row>
    <row r="457" spans="1:10">
      <c r="A457" s="2" t="s">
        <v>411</v>
      </c>
      <c r="B457" s="7" t="s">
        <v>50</v>
      </c>
      <c r="C457" s="3" t="str">
        <f>VLOOKUP(B457,'Accounts chart'!$A:$B,2,FALSE)</f>
        <v>ค่าเก็บขยะ</v>
      </c>
      <c r="D457" t="s">
        <v>961</v>
      </c>
      <c r="H457" t="s">
        <v>964</v>
      </c>
      <c r="I457" s="23">
        <v>3000</v>
      </c>
    </row>
    <row r="458" spans="1:10">
      <c r="A458" s="2" t="s">
        <v>411</v>
      </c>
      <c r="B458" s="7" t="s">
        <v>52</v>
      </c>
      <c r="C458" s="3" t="str">
        <f>VLOOKUP(B458,'Accounts chart'!$A:$B,2,FALSE)</f>
        <v>ค่าบริการดูแลสระว่ายน้ำ</v>
      </c>
      <c r="D458" t="s">
        <v>961</v>
      </c>
      <c r="H458" t="s">
        <v>964</v>
      </c>
      <c r="I458" s="23">
        <v>7500</v>
      </c>
    </row>
    <row r="459" spans="1:10">
      <c r="A459" s="2" t="s">
        <v>411</v>
      </c>
      <c r="B459" s="7" t="s">
        <v>54</v>
      </c>
      <c r="C459" s="3" t="str">
        <f>VLOOKUP(B459,'Accounts chart'!$A:$B,2,FALSE)</f>
        <v>ค่าไฟฟ้า</v>
      </c>
      <c r="D459" t="s">
        <v>961</v>
      </c>
      <c r="H459" t="s">
        <v>964</v>
      </c>
      <c r="I459" s="23">
        <v>5769.34</v>
      </c>
    </row>
    <row r="460" spans="1:10">
      <c r="A460" s="2" t="s">
        <v>411</v>
      </c>
      <c r="B460" s="7" t="s">
        <v>22</v>
      </c>
      <c r="C460" s="3" t="str">
        <f>VLOOKUP(B460,'Accounts chart'!$A:$B,2,FALSE)</f>
        <v>ค่าดูแลส่วนกลางค้างจ่าย</v>
      </c>
      <c r="D460" t="s">
        <v>961</v>
      </c>
      <c r="H460" t="s">
        <v>964</v>
      </c>
      <c r="J460" s="23">
        <v>15000</v>
      </c>
    </row>
    <row r="461" spans="1:10">
      <c r="A461" s="2" t="s">
        <v>411</v>
      </c>
      <c r="B461" s="7" t="s">
        <v>18</v>
      </c>
      <c r="C461" s="3" t="str">
        <f>VLOOKUP(B461,'Accounts chart'!$A:$B,2,FALSE)</f>
        <v>ค่ารักษาความปลอดภัยค้างจ่าย</v>
      </c>
      <c r="D461" t="s">
        <v>961</v>
      </c>
      <c r="H461" t="s">
        <v>964</v>
      </c>
      <c r="J461" s="23">
        <v>38814.32</v>
      </c>
    </row>
    <row r="462" spans="1:10">
      <c r="A462" s="2" t="s">
        <v>411</v>
      </c>
      <c r="B462" s="7" t="s">
        <v>14</v>
      </c>
      <c r="C462" s="3" t="str">
        <f>VLOOKUP(B462,'Accounts chart'!$A:$B,2,FALSE)</f>
        <v>ค่าเก็บขยะค้างจ่าย</v>
      </c>
      <c r="D462" t="s">
        <v>961</v>
      </c>
      <c r="H462" t="s">
        <v>964</v>
      </c>
      <c r="J462" s="23">
        <v>3000</v>
      </c>
    </row>
    <row r="463" spans="1:10">
      <c r="A463" s="2" t="s">
        <v>411</v>
      </c>
      <c r="B463" s="7" t="s">
        <v>16</v>
      </c>
      <c r="C463" s="3" t="str">
        <f>VLOOKUP(B463,'Accounts chart'!$A:$B,2,FALSE)</f>
        <v>ค่าบริการดูแลสระว่ายน้ำค้างจ่าย</v>
      </c>
      <c r="D463" t="s">
        <v>961</v>
      </c>
      <c r="H463" t="s">
        <v>964</v>
      </c>
      <c r="J463" s="23">
        <v>7500</v>
      </c>
    </row>
    <row r="464" spans="1:10">
      <c r="A464" s="2" t="s">
        <v>411</v>
      </c>
      <c r="B464" s="7" t="s">
        <v>20</v>
      </c>
      <c r="C464" s="3" t="str">
        <f>VLOOKUP(B464,'Accounts chart'!$A:$B,2,FALSE)</f>
        <v>ค่าไฟฟ้าค้างจ่าย</v>
      </c>
      <c r="D464" t="s">
        <v>961</v>
      </c>
      <c r="H464" t="s">
        <v>964</v>
      </c>
      <c r="J464" s="23">
        <v>5769.34</v>
      </c>
    </row>
    <row r="465" spans="1:10">
      <c r="A465" s="2"/>
      <c r="C465" s="3"/>
    </row>
    <row r="466" spans="1:10">
      <c r="A466" s="2" t="s">
        <v>411</v>
      </c>
      <c r="B466" s="7" t="s">
        <v>3</v>
      </c>
      <c r="C466" s="3" t="str">
        <f>VLOOKUP(B466,'Accounts chart'!$A:$B,2,FALSE)</f>
        <v>ธนาคารกสิกรไทย SA-040-1-56500-0</v>
      </c>
      <c r="D466" t="s">
        <v>980</v>
      </c>
      <c r="H466" t="s">
        <v>973</v>
      </c>
      <c r="I466" s="23">
        <v>5000</v>
      </c>
    </row>
    <row r="467" spans="1:10">
      <c r="A467" s="2" t="s">
        <v>411</v>
      </c>
      <c r="B467" s="7" t="s">
        <v>0</v>
      </c>
      <c r="C467" s="3" t="str">
        <f>VLOOKUP(B467,'Accounts chart'!$A:$B,2,FALSE)</f>
        <v>เงินสด</v>
      </c>
      <c r="D467" t="s">
        <v>980</v>
      </c>
      <c r="H467" t="s">
        <v>973</v>
      </c>
      <c r="J467" s="23">
        <v>5000</v>
      </c>
    </row>
    <row r="468" spans="1:10">
      <c r="A468" s="2"/>
      <c r="C468" s="3"/>
    </row>
    <row r="469" spans="1:10">
      <c r="A469" s="2"/>
      <c r="C469" s="3"/>
    </row>
    <row r="471" spans="1:10">
      <c r="A471" s="2">
        <v>242217</v>
      </c>
      <c r="B471" s="7" t="s">
        <v>3</v>
      </c>
      <c r="C471" s="3" t="str">
        <f>VLOOKUP(B471,'Accounts chart'!$A:$B,2,FALSE)</f>
        <v>ธนาคารกสิกรไทย SA-040-1-56500-0</v>
      </c>
      <c r="D471" t="s">
        <v>740</v>
      </c>
      <c r="E471" t="s">
        <v>595</v>
      </c>
      <c r="F471" t="s">
        <v>109</v>
      </c>
      <c r="G471" t="str">
        <f>VLOOKUP(F471,รายชื่อลูกบ้าน!$A:$B,2,FALSE)</f>
        <v>คุณพัฒนชญา+คุณธิตินันท์ วงค์บุปผา</v>
      </c>
      <c r="H471" t="s">
        <v>424</v>
      </c>
      <c r="I471" s="23">
        <v>600</v>
      </c>
    </row>
    <row r="472" spans="1:10">
      <c r="A472" s="2">
        <v>242217</v>
      </c>
      <c r="B472" s="7" t="s">
        <v>3</v>
      </c>
      <c r="C472" s="3" t="str">
        <f>VLOOKUP(B472,'Accounts chart'!$A:$B,2,FALSE)</f>
        <v>ธนาคารกสิกรไทย SA-040-1-56500-0</v>
      </c>
      <c r="D472" t="s">
        <v>740</v>
      </c>
      <c r="E472" t="s">
        <v>596</v>
      </c>
      <c r="F472" t="s">
        <v>374</v>
      </c>
      <c r="G472" t="str">
        <f>VLOOKUP(F472,รายชื่อลูกบ้าน!$A:$B,2,FALSE)</f>
        <v>คุณเกียรติภูมิ วิรติภูมิ</v>
      </c>
      <c r="H472" t="s">
        <v>424</v>
      </c>
      <c r="I472" s="23">
        <v>600.28</v>
      </c>
    </row>
    <row r="473" spans="1:10">
      <c r="A473" s="2">
        <v>242217</v>
      </c>
      <c r="B473" s="7" t="s">
        <v>3</v>
      </c>
      <c r="C473" s="3" t="str">
        <f>VLOOKUP(B473,'Accounts chart'!$A:$B,2,FALSE)</f>
        <v>ธนาคารกสิกรไทย SA-040-1-56500-0</v>
      </c>
      <c r="D473" t="s">
        <v>740</v>
      </c>
      <c r="E473" t="s">
        <v>597</v>
      </c>
      <c r="F473" t="s">
        <v>319</v>
      </c>
      <c r="G473" t="str">
        <f>VLOOKUP(F473,รายชื่อลูกบ้าน!$A:$B,2,FALSE)</f>
        <v>คุณณัฐพงศ์ สุวรรณมณี</v>
      </c>
      <c r="H473" t="s">
        <v>385</v>
      </c>
      <c r="I473" s="23">
        <v>600</v>
      </c>
    </row>
    <row r="474" spans="1:10">
      <c r="A474" s="2">
        <v>242217</v>
      </c>
      <c r="B474" s="7" t="s">
        <v>3</v>
      </c>
      <c r="C474" s="3" t="str">
        <f>VLOOKUP(B474,'Accounts chart'!$A:$B,2,FALSE)</f>
        <v>ธนาคารกสิกรไทย SA-040-1-56500-0</v>
      </c>
      <c r="D474" t="s">
        <v>740</v>
      </c>
      <c r="E474" t="s">
        <v>598</v>
      </c>
      <c r="F474" t="s">
        <v>161</v>
      </c>
      <c r="G474" t="str">
        <f>VLOOKUP(F474,รายชื่อลูกบ้าน!$A:$B,2,FALSE)</f>
        <v>คุณพงษ์พัฒนา มาบุญ</v>
      </c>
      <c r="H474" t="s">
        <v>385</v>
      </c>
      <c r="I474" s="23">
        <v>600</v>
      </c>
    </row>
    <row r="475" spans="1:10">
      <c r="A475" s="2">
        <v>242217</v>
      </c>
      <c r="B475" s="7" t="s">
        <v>3</v>
      </c>
      <c r="C475" s="3" t="str">
        <f>VLOOKUP(B475,'Accounts chart'!$A:$B,2,FALSE)</f>
        <v>ธนาคารกสิกรไทย SA-040-1-56500-0</v>
      </c>
      <c r="D475" t="s">
        <v>740</v>
      </c>
      <c r="E475" t="s">
        <v>599</v>
      </c>
      <c r="F475" t="s">
        <v>163</v>
      </c>
      <c r="G475" t="str">
        <f>VLOOKUP(F475,รายชื่อลูกบ้าน!$A:$B,2,FALSE)</f>
        <v>คุณสุภาภรณ์ ใจตั้ง</v>
      </c>
      <c r="H475" t="s">
        <v>657</v>
      </c>
      <c r="I475" s="23">
        <v>3600</v>
      </c>
    </row>
    <row r="476" spans="1:10">
      <c r="A476" s="2">
        <v>242217</v>
      </c>
      <c r="B476" s="7" t="s">
        <v>3</v>
      </c>
      <c r="C476" s="3" t="str">
        <f>VLOOKUP(B476,'Accounts chart'!$A:$B,2,FALSE)</f>
        <v>ธนาคารกสิกรไทย SA-040-1-56500-0</v>
      </c>
      <c r="D476" t="s">
        <v>740</v>
      </c>
      <c r="E476" t="s">
        <v>600</v>
      </c>
      <c r="F476" t="s">
        <v>163</v>
      </c>
      <c r="G476" t="str">
        <f>VLOOKUP(F476,รายชื่อลูกบ้าน!$A:$B,2,FALSE)</f>
        <v>คุณสุภาภรณ์ ใจตั้ง</v>
      </c>
      <c r="H476" t="s">
        <v>658</v>
      </c>
      <c r="I476" s="23">
        <v>1800</v>
      </c>
    </row>
    <row r="477" spans="1:10">
      <c r="A477" s="2">
        <v>242217</v>
      </c>
      <c r="B477" s="7" t="s">
        <v>3</v>
      </c>
      <c r="C477" s="3" t="str">
        <f>VLOOKUP(B477,'Accounts chart'!$A:$B,2,FALSE)</f>
        <v>ธนาคารกสิกรไทย SA-040-1-56500-0</v>
      </c>
      <c r="D477" t="s">
        <v>740</v>
      </c>
      <c r="E477" t="s">
        <v>601</v>
      </c>
      <c r="F477" t="s">
        <v>72</v>
      </c>
      <c r="G477" t="str">
        <f>VLOOKUP(F477,รายชื่อลูกบ้าน!$A:$B,2,FALSE)</f>
        <v>คุณวรวุฒิ นาทอง</v>
      </c>
      <c r="H477" t="s">
        <v>385</v>
      </c>
      <c r="I477" s="23">
        <v>600</v>
      </c>
    </row>
    <row r="478" spans="1:10">
      <c r="A478" s="2">
        <v>242217</v>
      </c>
      <c r="B478" s="7" t="s">
        <v>3</v>
      </c>
      <c r="C478" s="3" t="str">
        <f>VLOOKUP(B478,'Accounts chart'!$A:$B,2,FALSE)</f>
        <v>ธนาคารกสิกรไทย SA-040-1-56500-0</v>
      </c>
      <c r="D478" t="s">
        <v>740</v>
      </c>
      <c r="E478" t="s">
        <v>602</v>
      </c>
      <c r="F478" t="s">
        <v>207</v>
      </c>
      <c r="G478" t="str">
        <f>VLOOKUP(F478,รายชื่อลูกบ้าน!$A:$B,2,FALSE)</f>
        <v>คุณกิตติภูมิ กาญจนจิรวงศ์</v>
      </c>
      <c r="H478" t="s">
        <v>385</v>
      </c>
      <c r="I478" s="23">
        <v>600</v>
      </c>
    </row>
    <row r="479" spans="1:10">
      <c r="A479" s="2">
        <v>242217</v>
      </c>
      <c r="B479" s="7" t="s">
        <v>34</v>
      </c>
      <c r="C479" s="3" t="str">
        <f>VLOOKUP(B479,'Accounts chart'!$A:$B,2,FALSE)</f>
        <v>รายรับค่าส่วนกลาง</v>
      </c>
      <c r="D479" t="s">
        <v>740</v>
      </c>
      <c r="E479" t="s">
        <v>595</v>
      </c>
      <c r="F479" t="s">
        <v>109</v>
      </c>
      <c r="G479" t="str">
        <f>VLOOKUP(F479,รายชื่อลูกบ้าน!$A:$B,2,FALSE)</f>
        <v>คุณพัฒนชญา+คุณธิตินันท์ วงค์บุปผา</v>
      </c>
      <c r="H479" t="s">
        <v>424</v>
      </c>
      <c r="J479" s="23">
        <v>600</v>
      </c>
    </row>
    <row r="480" spans="1:10">
      <c r="A480" s="2">
        <v>242217</v>
      </c>
      <c r="B480" s="7" t="s">
        <v>34</v>
      </c>
      <c r="C480" s="3" t="str">
        <f>VLOOKUP(B480,'Accounts chart'!$A:$B,2,FALSE)</f>
        <v>รายรับค่าส่วนกลาง</v>
      </c>
      <c r="D480" t="s">
        <v>740</v>
      </c>
      <c r="E480" t="s">
        <v>596</v>
      </c>
      <c r="F480" t="s">
        <v>374</v>
      </c>
      <c r="G480" t="str">
        <f>VLOOKUP(F480,รายชื่อลูกบ้าน!$A:$B,2,FALSE)</f>
        <v>คุณเกียรติภูมิ วิรติภูมิ</v>
      </c>
      <c r="H480" t="s">
        <v>424</v>
      </c>
      <c r="J480" s="23">
        <v>600.28</v>
      </c>
    </row>
    <row r="481" spans="1:10">
      <c r="A481" s="2">
        <v>242217</v>
      </c>
      <c r="B481" s="7" t="s">
        <v>34</v>
      </c>
      <c r="C481" s="3" t="str">
        <f>VLOOKUP(B481,'Accounts chart'!$A:$B,2,FALSE)</f>
        <v>รายรับค่าส่วนกลาง</v>
      </c>
      <c r="D481" t="s">
        <v>740</v>
      </c>
      <c r="E481" t="s">
        <v>597</v>
      </c>
      <c r="F481" t="s">
        <v>319</v>
      </c>
      <c r="G481" t="str">
        <f>VLOOKUP(F481,รายชื่อลูกบ้าน!$A:$B,2,FALSE)</f>
        <v>คุณณัฐพงศ์ สุวรรณมณี</v>
      </c>
      <c r="H481" t="s">
        <v>385</v>
      </c>
      <c r="J481" s="23">
        <v>600</v>
      </c>
    </row>
    <row r="482" spans="1:10">
      <c r="A482" s="2">
        <v>242217</v>
      </c>
      <c r="B482" s="7" t="s">
        <v>34</v>
      </c>
      <c r="C482" s="3" t="str">
        <f>VLOOKUP(B482,'Accounts chart'!$A:$B,2,FALSE)</f>
        <v>รายรับค่าส่วนกลาง</v>
      </c>
      <c r="D482" t="s">
        <v>740</v>
      </c>
      <c r="E482" t="s">
        <v>598</v>
      </c>
      <c r="F482" t="s">
        <v>161</v>
      </c>
      <c r="G482" t="str">
        <f>VLOOKUP(F482,รายชื่อลูกบ้าน!$A:$B,2,FALSE)</f>
        <v>คุณพงษ์พัฒนา มาบุญ</v>
      </c>
      <c r="H482" t="s">
        <v>385</v>
      </c>
      <c r="J482" s="23">
        <v>600</v>
      </c>
    </row>
    <row r="483" spans="1:10">
      <c r="A483" s="2">
        <v>242217</v>
      </c>
      <c r="B483" s="7" t="s">
        <v>4</v>
      </c>
      <c r="C483" s="3" t="str">
        <f>VLOOKUP(B483,'Accounts chart'!$A:$B,2,FALSE)</f>
        <v>ลูกหนี้ค่าส่วนกลาง</v>
      </c>
      <c r="D483" t="s">
        <v>740</v>
      </c>
      <c r="E483" t="s">
        <v>599</v>
      </c>
      <c r="F483" t="s">
        <v>163</v>
      </c>
      <c r="G483" t="str">
        <f>VLOOKUP(F483,รายชื่อลูกบ้าน!$A:$B,2,FALSE)</f>
        <v>คุณสุภาภรณ์ ใจตั้ง</v>
      </c>
      <c r="H483" t="s">
        <v>657</v>
      </c>
      <c r="J483" s="23">
        <v>3600</v>
      </c>
    </row>
    <row r="484" spans="1:10">
      <c r="A484" s="2">
        <v>242217</v>
      </c>
      <c r="B484" s="7" t="s">
        <v>34</v>
      </c>
      <c r="C484" s="3" t="str">
        <f>VLOOKUP(B484,'Accounts chart'!$A:$B,2,FALSE)</f>
        <v>รายรับค่าส่วนกลาง</v>
      </c>
      <c r="D484" t="s">
        <v>740</v>
      </c>
      <c r="E484" t="s">
        <v>600</v>
      </c>
      <c r="F484" t="s">
        <v>163</v>
      </c>
      <c r="G484" t="str">
        <f>VLOOKUP(F484,รายชื่อลูกบ้าน!$A:$B,2,FALSE)</f>
        <v>คุณสุภาภรณ์ ใจตั้ง</v>
      </c>
      <c r="H484" t="s">
        <v>658</v>
      </c>
      <c r="J484" s="23">
        <v>1800</v>
      </c>
    </row>
    <row r="485" spans="1:10">
      <c r="A485" s="2">
        <v>242217</v>
      </c>
      <c r="B485" s="7" t="s">
        <v>34</v>
      </c>
      <c r="C485" s="3" t="str">
        <f>VLOOKUP(B485,'Accounts chart'!$A:$B,2,FALSE)</f>
        <v>รายรับค่าส่วนกลาง</v>
      </c>
      <c r="D485" t="s">
        <v>740</v>
      </c>
      <c r="E485" t="s">
        <v>601</v>
      </c>
      <c r="F485" t="s">
        <v>72</v>
      </c>
      <c r="G485" t="str">
        <f>VLOOKUP(F485,รายชื่อลูกบ้าน!$A:$B,2,FALSE)</f>
        <v>คุณวรวุฒิ นาทอง</v>
      </c>
      <c r="H485" t="s">
        <v>385</v>
      </c>
      <c r="J485" s="23">
        <v>600</v>
      </c>
    </row>
    <row r="486" spans="1:10">
      <c r="A486" s="2">
        <v>242217</v>
      </c>
      <c r="B486" s="7" t="s">
        <v>34</v>
      </c>
      <c r="C486" s="3" t="str">
        <f>VLOOKUP(B486,'Accounts chart'!$A:$B,2,FALSE)</f>
        <v>รายรับค่าส่วนกลาง</v>
      </c>
      <c r="D486" t="s">
        <v>740</v>
      </c>
      <c r="E486" t="s">
        <v>602</v>
      </c>
      <c r="F486" t="s">
        <v>207</v>
      </c>
      <c r="G486" t="str">
        <f>VLOOKUP(F486,รายชื่อลูกบ้าน!$A:$B,2,FALSE)</f>
        <v>คุณกิตติภูมิ กาญจนจิรวงศ์</v>
      </c>
      <c r="H486" t="s">
        <v>385</v>
      </c>
      <c r="J486" s="23">
        <v>600</v>
      </c>
    </row>
    <row r="487" spans="1:10">
      <c r="A487" s="2"/>
      <c r="C487" s="3"/>
    </row>
    <row r="488" spans="1:10">
      <c r="A488" s="2">
        <v>242217</v>
      </c>
      <c r="B488" s="7" t="s">
        <v>3</v>
      </c>
      <c r="C488" s="3" t="str">
        <f>VLOOKUP(B488,'Accounts chart'!$A:$B,2,FALSE)</f>
        <v>ธนาคารกสิกรไทย SA-040-1-56500-0</v>
      </c>
      <c r="D488" t="s">
        <v>741</v>
      </c>
      <c r="E488" t="s">
        <v>608</v>
      </c>
      <c r="F488" t="s">
        <v>255</v>
      </c>
      <c r="G488" t="str">
        <f>VLOOKUP(F488,รายชื่อลูกบ้าน!$A:$B,2,FALSE)</f>
        <v>คุณไชยยันต์ แก้วบุญศรี</v>
      </c>
      <c r="H488" t="s">
        <v>424</v>
      </c>
      <c r="I488" s="23">
        <v>600</v>
      </c>
    </row>
    <row r="489" spans="1:10">
      <c r="A489" s="2">
        <v>242217</v>
      </c>
      <c r="B489" s="7" t="s">
        <v>34</v>
      </c>
      <c r="C489" s="3" t="str">
        <f>VLOOKUP(B489,'Accounts chart'!$A:$B,2,FALSE)</f>
        <v>รายรับค่าส่วนกลาง</v>
      </c>
      <c r="D489" t="s">
        <v>741</v>
      </c>
      <c r="E489" t="s">
        <v>608</v>
      </c>
      <c r="F489" t="s">
        <v>255</v>
      </c>
      <c r="G489" t="str">
        <f>VLOOKUP(F489,รายชื่อลูกบ้าน!$A:$B,2,FALSE)</f>
        <v>คุณไชยยันต์ แก้วบุญศรี</v>
      </c>
      <c r="H489" t="s">
        <v>424</v>
      </c>
      <c r="J489" s="23">
        <v>600</v>
      </c>
    </row>
    <row r="490" spans="1:10">
      <c r="A490" s="2"/>
      <c r="C490" s="3"/>
    </row>
    <row r="491" spans="1:10">
      <c r="A491" s="2">
        <v>242218</v>
      </c>
      <c r="B491" s="7" t="s">
        <v>3</v>
      </c>
      <c r="C491" s="3" t="str">
        <f>VLOOKUP(B491,'Accounts chart'!$A:$B,2,FALSE)</f>
        <v>ธนาคารกสิกรไทย SA-040-1-56500-0</v>
      </c>
      <c r="D491" t="s">
        <v>742</v>
      </c>
      <c r="E491" t="s">
        <v>603</v>
      </c>
      <c r="F491" t="s">
        <v>329</v>
      </c>
      <c r="G491" t="str">
        <f>VLOOKUP(F491,รายชื่อลูกบ้าน!$A:$B,2,FALSE)</f>
        <v>คุณวัชระ คุนุ</v>
      </c>
      <c r="H491" t="s">
        <v>658</v>
      </c>
      <c r="I491" s="23">
        <v>1800</v>
      </c>
    </row>
    <row r="492" spans="1:10">
      <c r="A492" s="2">
        <v>242218</v>
      </c>
      <c r="B492" s="7" t="s">
        <v>3</v>
      </c>
      <c r="C492" s="3" t="str">
        <f>VLOOKUP(B492,'Accounts chart'!$A:$B,2,FALSE)</f>
        <v>ธนาคารกสิกรไทย SA-040-1-56500-0</v>
      </c>
      <c r="D492" t="s">
        <v>742</v>
      </c>
      <c r="E492" t="s">
        <v>604</v>
      </c>
      <c r="F492" t="s">
        <v>122</v>
      </c>
      <c r="G492" t="str">
        <f>VLOOKUP(F492,รายชื่อลูกบ้าน!$A:$B,2,FALSE)</f>
        <v>คุณศิวกร รัตนประดิษฐ์</v>
      </c>
      <c r="H492" t="s">
        <v>424</v>
      </c>
      <c r="I492" s="23">
        <v>600</v>
      </c>
    </row>
    <row r="493" spans="1:10">
      <c r="A493" s="2">
        <v>242218</v>
      </c>
      <c r="B493" s="7" t="s">
        <v>3</v>
      </c>
      <c r="C493" s="3" t="str">
        <f>VLOOKUP(B493,'Accounts chart'!$A:$B,2,FALSE)</f>
        <v>ธนาคารกสิกรไทย SA-040-1-56500-0</v>
      </c>
      <c r="D493" t="s">
        <v>742</v>
      </c>
      <c r="E493" t="s">
        <v>605</v>
      </c>
      <c r="F493" t="s">
        <v>107</v>
      </c>
      <c r="G493" t="str">
        <f>VLOOKUP(F493,รายชื่อลูกบ้าน!$A:$B,2,FALSE)</f>
        <v>คุณอนันต์ แจ่มจันทร์</v>
      </c>
      <c r="H493" t="s">
        <v>424</v>
      </c>
      <c r="I493" s="23">
        <v>600</v>
      </c>
    </row>
    <row r="494" spans="1:10">
      <c r="A494" s="2">
        <v>242218</v>
      </c>
      <c r="B494" s="7" t="s">
        <v>3</v>
      </c>
      <c r="C494" s="3" t="str">
        <f>VLOOKUP(B494,'Accounts chart'!$A:$B,2,FALSE)</f>
        <v>ธนาคารกสิกรไทย SA-040-1-56500-0</v>
      </c>
      <c r="D494" t="s">
        <v>742</v>
      </c>
      <c r="E494" t="s">
        <v>606</v>
      </c>
      <c r="F494" t="s">
        <v>121</v>
      </c>
      <c r="G494" t="str">
        <f>VLOOKUP(F494,รายชื่อลูกบ้าน!$A:$B,2,FALSE)</f>
        <v>คุณสถิตย์ ปาระพิมพ์</v>
      </c>
      <c r="H494" t="s">
        <v>385</v>
      </c>
      <c r="I494" s="23">
        <v>600</v>
      </c>
    </row>
    <row r="495" spans="1:10">
      <c r="A495" s="2">
        <v>242218</v>
      </c>
      <c r="B495" s="7" t="s">
        <v>3</v>
      </c>
      <c r="C495" s="3" t="str">
        <f>VLOOKUP(B495,'Accounts chart'!$A:$B,2,FALSE)</f>
        <v>ธนาคารกสิกรไทย SA-040-1-56500-0</v>
      </c>
      <c r="D495" t="s">
        <v>742</v>
      </c>
      <c r="E495" t="s">
        <v>607</v>
      </c>
      <c r="F495" t="s">
        <v>225</v>
      </c>
      <c r="G495" t="str">
        <f>VLOOKUP(F495,รายชื่อลูกบ้าน!$A:$B,2,FALSE)</f>
        <v>คุณถวิล เคสา</v>
      </c>
      <c r="H495" t="s">
        <v>424</v>
      </c>
      <c r="I495" s="23">
        <v>600</v>
      </c>
    </row>
    <row r="496" spans="1:10">
      <c r="A496" s="2">
        <v>242218</v>
      </c>
      <c r="B496" s="7" t="s">
        <v>3</v>
      </c>
      <c r="C496" s="3" t="str">
        <f>VLOOKUP(B496,'Accounts chart'!$A:$B,2,FALSE)</f>
        <v>ธนาคารกสิกรไทย SA-040-1-56500-0</v>
      </c>
      <c r="D496" t="s">
        <v>742</v>
      </c>
      <c r="E496" t="s">
        <v>609</v>
      </c>
      <c r="F496" t="s">
        <v>236</v>
      </c>
      <c r="G496" t="str">
        <f>VLOOKUP(F496,รายชื่อลูกบ้าน!$A:$B,2,FALSE)</f>
        <v>คุณพงษ์พิชญ์-คุณชลธิดา บุญศิริ</v>
      </c>
      <c r="H496" t="s">
        <v>385</v>
      </c>
      <c r="I496" s="23">
        <v>600</v>
      </c>
    </row>
    <row r="497" spans="1:10">
      <c r="A497" s="2">
        <v>242218</v>
      </c>
      <c r="B497" s="7" t="s">
        <v>3</v>
      </c>
      <c r="C497" s="3" t="str">
        <f>VLOOKUP(B497,'Accounts chart'!$A:$B,2,FALSE)</f>
        <v>ธนาคารกสิกรไทย SA-040-1-56500-0</v>
      </c>
      <c r="D497" t="s">
        <v>742</v>
      </c>
      <c r="E497" t="s">
        <v>610</v>
      </c>
      <c r="F497" t="s">
        <v>211</v>
      </c>
      <c r="G497" t="str">
        <f>VLOOKUP(F497,รายชื่อลูกบ้าน!$A:$B,2,FALSE)</f>
        <v>คุณธเนศ เอี่ยมเจริญ</v>
      </c>
      <c r="H497" t="s">
        <v>659</v>
      </c>
      <c r="I497" s="23">
        <v>3000</v>
      </c>
    </row>
    <row r="498" spans="1:10">
      <c r="A498" s="2">
        <v>242218</v>
      </c>
      <c r="B498" s="7" t="s">
        <v>34</v>
      </c>
      <c r="C498" s="3" t="str">
        <f>VLOOKUP(B498,'Accounts chart'!$A:$B,2,FALSE)</f>
        <v>รายรับค่าส่วนกลาง</v>
      </c>
      <c r="D498" t="s">
        <v>742</v>
      </c>
      <c r="E498" t="s">
        <v>603</v>
      </c>
      <c r="F498" t="s">
        <v>329</v>
      </c>
      <c r="G498" t="str">
        <f>VLOOKUP(F498,รายชื่อลูกบ้าน!$A:$B,2,FALSE)</f>
        <v>คุณวัชระ คุนุ</v>
      </c>
      <c r="H498" t="s">
        <v>658</v>
      </c>
      <c r="J498" s="23">
        <v>1800</v>
      </c>
    </row>
    <row r="499" spans="1:10">
      <c r="A499" s="2">
        <v>242218</v>
      </c>
      <c r="B499" s="7" t="s">
        <v>34</v>
      </c>
      <c r="C499" s="3" t="str">
        <f>VLOOKUP(B499,'Accounts chart'!$A:$B,2,FALSE)</f>
        <v>รายรับค่าส่วนกลาง</v>
      </c>
      <c r="D499" t="s">
        <v>742</v>
      </c>
      <c r="E499" t="s">
        <v>604</v>
      </c>
      <c r="F499" t="s">
        <v>122</v>
      </c>
      <c r="G499" t="str">
        <f>VLOOKUP(F499,รายชื่อลูกบ้าน!$A:$B,2,FALSE)</f>
        <v>คุณศิวกร รัตนประดิษฐ์</v>
      </c>
      <c r="H499" t="s">
        <v>424</v>
      </c>
      <c r="J499" s="23">
        <v>600</v>
      </c>
    </row>
    <row r="500" spans="1:10">
      <c r="A500" s="2">
        <v>242218</v>
      </c>
      <c r="B500" s="7" t="s">
        <v>34</v>
      </c>
      <c r="C500" s="3" t="str">
        <f>VLOOKUP(B500,'Accounts chart'!$A:$B,2,FALSE)</f>
        <v>รายรับค่าส่วนกลาง</v>
      </c>
      <c r="D500" t="s">
        <v>742</v>
      </c>
      <c r="E500" t="s">
        <v>605</v>
      </c>
      <c r="F500" t="s">
        <v>107</v>
      </c>
      <c r="G500" t="str">
        <f>VLOOKUP(F500,รายชื่อลูกบ้าน!$A:$B,2,FALSE)</f>
        <v>คุณอนันต์ แจ่มจันทร์</v>
      </c>
      <c r="H500" t="s">
        <v>424</v>
      </c>
      <c r="J500" s="23">
        <v>600</v>
      </c>
    </row>
    <row r="501" spans="1:10">
      <c r="A501" s="2">
        <v>242218</v>
      </c>
      <c r="B501" s="7" t="s">
        <v>34</v>
      </c>
      <c r="C501" s="3" t="str">
        <f>VLOOKUP(B501,'Accounts chart'!$A:$B,2,FALSE)</f>
        <v>รายรับค่าส่วนกลาง</v>
      </c>
      <c r="D501" t="s">
        <v>742</v>
      </c>
      <c r="E501" t="s">
        <v>606</v>
      </c>
      <c r="F501" t="s">
        <v>121</v>
      </c>
      <c r="G501" t="str">
        <f>VLOOKUP(F501,รายชื่อลูกบ้าน!$A:$B,2,FALSE)</f>
        <v>คุณสถิตย์ ปาระพิมพ์</v>
      </c>
      <c r="H501" t="s">
        <v>385</v>
      </c>
      <c r="J501" s="23">
        <v>600</v>
      </c>
    </row>
    <row r="502" spans="1:10">
      <c r="A502" s="2">
        <v>242218</v>
      </c>
      <c r="B502" s="7" t="s">
        <v>34</v>
      </c>
      <c r="C502" s="3" t="str">
        <f>VLOOKUP(B502,'Accounts chart'!$A:$B,2,FALSE)</f>
        <v>รายรับค่าส่วนกลาง</v>
      </c>
      <c r="D502" t="s">
        <v>742</v>
      </c>
      <c r="E502" t="s">
        <v>607</v>
      </c>
      <c r="F502" t="s">
        <v>225</v>
      </c>
      <c r="G502" t="str">
        <f>VLOOKUP(F502,รายชื่อลูกบ้าน!$A:$B,2,FALSE)</f>
        <v>คุณถวิล เคสา</v>
      </c>
      <c r="H502" t="s">
        <v>424</v>
      </c>
      <c r="J502" s="23">
        <v>600</v>
      </c>
    </row>
    <row r="503" spans="1:10">
      <c r="A503" s="2">
        <v>242218</v>
      </c>
      <c r="B503" s="7" t="s">
        <v>34</v>
      </c>
      <c r="C503" s="3" t="str">
        <f>VLOOKUP(B503,'Accounts chart'!$A:$B,2,FALSE)</f>
        <v>รายรับค่าส่วนกลาง</v>
      </c>
      <c r="D503" t="s">
        <v>742</v>
      </c>
      <c r="E503" t="s">
        <v>609</v>
      </c>
      <c r="F503" t="s">
        <v>236</v>
      </c>
      <c r="G503" t="str">
        <f>VLOOKUP(F503,รายชื่อลูกบ้าน!$A:$B,2,FALSE)</f>
        <v>คุณพงษ์พิชญ์-คุณชลธิดา บุญศิริ</v>
      </c>
      <c r="H503" t="s">
        <v>385</v>
      </c>
      <c r="J503" s="23">
        <v>600</v>
      </c>
    </row>
    <row r="504" spans="1:10">
      <c r="A504" s="2">
        <v>242218</v>
      </c>
      <c r="B504" s="7" t="s">
        <v>4</v>
      </c>
      <c r="C504" s="3" t="str">
        <f>VLOOKUP(B504,'Accounts chart'!$A:$B,2,FALSE)</f>
        <v>ลูกหนี้ค่าส่วนกลาง</v>
      </c>
      <c r="D504" t="s">
        <v>742</v>
      </c>
      <c r="E504" t="s">
        <v>610</v>
      </c>
      <c r="F504" t="s">
        <v>211</v>
      </c>
      <c r="G504" t="str">
        <f>VLOOKUP(F504,รายชื่อลูกบ้าน!$A:$B,2,FALSE)</f>
        <v>คุณธเนศ เอี่ยมเจริญ</v>
      </c>
      <c r="H504" t="s">
        <v>659</v>
      </c>
      <c r="J504" s="23">
        <v>3000</v>
      </c>
    </row>
    <row r="505" spans="1:10">
      <c r="A505" s="2"/>
      <c r="C505" s="3"/>
    </row>
    <row r="506" spans="1:10">
      <c r="A506" s="2"/>
      <c r="C506" s="3"/>
    </row>
    <row r="507" spans="1:10">
      <c r="A507" s="2">
        <v>242219</v>
      </c>
      <c r="B507" s="7" t="s">
        <v>3</v>
      </c>
      <c r="C507" s="3" t="str">
        <f>VLOOKUP(B507,'Accounts chart'!$A:$B,2,FALSE)</f>
        <v>ธนาคารกสิกรไทย SA-040-1-56500-0</v>
      </c>
      <c r="D507" t="s">
        <v>743</v>
      </c>
      <c r="E507" t="s">
        <v>611</v>
      </c>
      <c r="F507" t="s">
        <v>87</v>
      </c>
      <c r="G507" t="str">
        <f>VLOOKUP(F507,รายชื่อลูกบ้าน!$A:$B,2,FALSE)</f>
        <v>คุณคงกฤษณ์ กาญจนพฤกษ์</v>
      </c>
      <c r="H507" t="s">
        <v>385</v>
      </c>
      <c r="I507" s="23">
        <v>600</v>
      </c>
    </row>
    <row r="508" spans="1:10">
      <c r="A508" s="2">
        <v>242219</v>
      </c>
      <c r="B508" s="7" t="s">
        <v>3</v>
      </c>
      <c r="C508" s="3" t="str">
        <f>VLOOKUP(B508,'Accounts chart'!$A:$B,2,FALSE)</f>
        <v>ธนาคารกสิกรไทย SA-040-1-56500-0</v>
      </c>
      <c r="D508" t="s">
        <v>743</v>
      </c>
      <c r="E508" t="s">
        <v>612</v>
      </c>
      <c r="F508" t="s">
        <v>227</v>
      </c>
      <c r="G508" t="str">
        <f>VLOOKUP(F508,รายชื่อลูกบ้าน!$A:$B,2,FALSE)</f>
        <v>คุณเกียรติชัย การรุ่งเรือง-คุณศศิธร เศียรศิริบัณฑิต</v>
      </c>
      <c r="H508" t="s">
        <v>385</v>
      </c>
      <c r="I508" s="23">
        <v>600</v>
      </c>
    </row>
    <row r="509" spans="1:10">
      <c r="A509" s="2">
        <v>242219</v>
      </c>
      <c r="B509" s="7" t="s">
        <v>3</v>
      </c>
      <c r="C509" s="3" t="str">
        <f>VLOOKUP(B509,'Accounts chart'!$A:$B,2,FALSE)</f>
        <v>ธนาคารกสิกรไทย SA-040-1-56500-0</v>
      </c>
      <c r="D509" t="s">
        <v>743</v>
      </c>
      <c r="E509" t="s">
        <v>613</v>
      </c>
      <c r="F509" t="s">
        <v>167</v>
      </c>
      <c r="G509" t="str">
        <f>VLOOKUP(F509,รายชื่อลูกบ้าน!$A:$B,2,FALSE)</f>
        <v>คุณคฑาวุธ พิมลศรี</v>
      </c>
      <c r="H509" t="s">
        <v>385</v>
      </c>
      <c r="I509" s="23">
        <v>600</v>
      </c>
    </row>
    <row r="510" spans="1:10">
      <c r="A510" s="2">
        <v>242219</v>
      </c>
      <c r="B510" s="7" t="s">
        <v>34</v>
      </c>
      <c r="C510" s="3" t="str">
        <f>VLOOKUP(B510,'Accounts chart'!$A:$B,2,FALSE)</f>
        <v>รายรับค่าส่วนกลาง</v>
      </c>
      <c r="D510" t="s">
        <v>743</v>
      </c>
      <c r="E510" t="s">
        <v>611</v>
      </c>
      <c r="F510" t="s">
        <v>87</v>
      </c>
      <c r="G510" t="str">
        <f>VLOOKUP(F510,รายชื่อลูกบ้าน!$A:$B,2,FALSE)</f>
        <v>คุณคงกฤษณ์ กาญจนพฤกษ์</v>
      </c>
      <c r="H510" t="s">
        <v>385</v>
      </c>
      <c r="J510" s="23">
        <v>600</v>
      </c>
    </row>
    <row r="511" spans="1:10">
      <c r="A511" s="2">
        <v>242219</v>
      </c>
      <c r="B511" s="7" t="s">
        <v>34</v>
      </c>
      <c r="C511" s="3" t="str">
        <f>VLOOKUP(B511,'Accounts chart'!$A:$B,2,FALSE)</f>
        <v>รายรับค่าส่วนกลาง</v>
      </c>
      <c r="D511" t="s">
        <v>743</v>
      </c>
      <c r="E511" t="s">
        <v>612</v>
      </c>
      <c r="F511" t="s">
        <v>227</v>
      </c>
      <c r="G511" t="str">
        <f>VLOOKUP(F511,รายชื่อลูกบ้าน!$A:$B,2,FALSE)</f>
        <v>คุณเกียรติชัย การรุ่งเรือง-คุณศศิธร เศียรศิริบัณฑิต</v>
      </c>
      <c r="H511" t="s">
        <v>385</v>
      </c>
      <c r="J511" s="23">
        <v>600</v>
      </c>
    </row>
    <row r="512" spans="1:10">
      <c r="A512" s="2">
        <v>242219</v>
      </c>
      <c r="B512" s="7" t="s">
        <v>34</v>
      </c>
      <c r="C512" s="3" t="str">
        <f>VLOOKUP(B512,'Accounts chart'!$A:$B,2,FALSE)</f>
        <v>รายรับค่าส่วนกลาง</v>
      </c>
      <c r="D512" t="s">
        <v>743</v>
      </c>
      <c r="E512" t="s">
        <v>613</v>
      </c>
      <c r="F512" t="s">
        <v>167</v>
      </c>
      <c r="G512" t="str">
        <f>VLOOKUP(F512,รายชื่อลูกบ้าน!$A:$B,2,FALSE)</f>
        <v>คุณคฑาวุธ พิมลศรี</v>
      </c>
      <c r="H512" t="s">
        <v>385</v>
      </c>
      <c r="J512" s="23">
        <v>600</v>
      </c>
    </row>
    <row r="513" spans="1:10">
      <c r="A513" s="2"/>
      <c r="C513" s="3"/>
    </row>
    <row r="514" spans="1:10">
      <c r="A514" s="2">
        <v>242220</v>
      </c>
      <c r="B514" s="7" t="s">
        <v>3</v>
      </c>
      <c r="C514" s="3" t="str">
        <f>VLOOKUP(B514,'Accounts chart'!$A:$B,2,FALSE)</f>
        <v>ธนาคารกสิกรไทย SA-040-1-56500-0</v>
      </c>
      <c r="D514" t="s">
        <v>744</v>
      </c>
      <c r="E514" t="s">
        <v>614</v>
      </c>
      <c r="F514" t="s">
        <v>337</v>
      </c>
      <c r="G514" t="str">
        <f>VLOOKUP(F514,รายชื่อลูกบ้าน!$A:$B,2,FALSE)</f>
        <v>คุณพงศกร-คุณปิยะพร ปาเลิง</v>
      </c>
      <c r="H514" t="s">
        <v>424</v>
      </c>
      <c r="I514" s="23">
        <v>600</v>
      </c>
    </row>
    <row r="515" spans="1:10">
      <c r="A515" s="2">
        <v>242220</v>
      </c>
      <c r="B515" s="7" t="s">
        <v>3</v>
      </c>
      <c r="C515" s="3" t="str">
        <f>VLOOKUP(B515,'Accounts chart'!$A:$B,2,FALSE)</f>
        <v>ธนาคารกสิกรไทย SA-040-1-56500-0</v>
      </c>
      <c r="D515" t="s">
        <v>744</v>
      </c>
      <c r="E515" t="s">
        <v>615</v>
      </c>
      <c r="F515" t="s">
        <v>130</v>
      </c>
      <c r="G515" t="str">
        <f>VLOOKUP(F515,รายชื่อลูกบ้าน!$A:$B,2,FALSE)</f>
        <v>คุณสุทัศน์ หรือสุวรรณ-คุณอัญชลี จิตรเอื้อ</v>
      </c>
      <c r="H515" t="s">
        <v>401</v>
      </c>
      <c r="I515" s="23">
        <v>1800</v>
      </c>
    </row>
    <row r="516" spans="1:10">
      <c r="A516" s="2">
        <v>242220</v>
      </c>
      <c r="B516" s="7" t="s">
        <v>3</v>
      </c>
      <c r="C516" s="3" t="str">
        <f>VLOOKUP(B516,'Accounts chart'!$A:$B,2,FALSE)</f>
        <v>ธนาคารกสิกรไทย SA-040-1-56500-0</v>
      </c>
      <c r="D516" t="s">
        <v>744</v>
      </c>
      <c r="E516" t="s">
        <v>616</v>
      </c>
      <c r="F516" t="s">
        <v>185</v>
      </c>
      <c r="G516" t="str">
        <f>VLOOKUP(F516,รายชื่อลูกบ้าน!$A:$B,2,FALSE)</f>
        <v>คุณชาญชัย ตนะศุภผล</v>
      </c>
      <c r="H516" t="s">
        <v>424</v>
      </c>
      <c r="I516" s="23">
        <v>600.54999999999995</v>
      </c>
    </row>
    <row r="517" spans="1:10">
      <c r="A517" s="2">
        <v>242220</v>
      </c>
      <c r="B517" s="7" t="s">
        <v>3</v>
      </c>
      <c r="C517" s="3" t="str">
        <f>VLOOKUP(B517,'Accounts chart'!$A:$B,2,FALSE)</f>
        <v>ธนาคารกสิกรไทย SA-040-1-56500-0</v>
      </c>
      <c r="D517" t="s">
        <v>744</v>
      </c>
      <c r="E517" t="s">
        <v>617</v>
      </c>
      <c r="F517" t="s">
        <v>148</v>
      </c>
      <c r="G517" t="str">
        <f>VLOOKUP(F517,รายชื่อลูกบ้าน!$A:$B,2,FALSE)</f>
        <v>คุณจักรพงศ์ สุขสวัสดิ์</v>
      </c>
      <c r="H517" t="s">
        <v>660</v>
      </c>
      <c r="I517" s="23">
        <v>1200</v>
      </c>
    </row>
    <row r="518" spans="1:10">
      <c r="A518" s="2">
        <v>242220</v>
      </c>
      <c r="B518" s="7" t="s">
        <v>3</v>
      </c>
      <c r="C518" s="3" t="str">
        <f>VLOOKUP(B518,'Accounts chart'!$A:$B,2,FALSE)</f>
        <v>ธนาคารกสิกรไทย SA-040-1-56500-0</v>
      </c>
      <c r="D518" t="s">
        <v>744</v>
      </c>
      <c r="E518" t="s">
        <v>618</v>
      </c>
      <c r="F518" t="s">
        <v>295</v>
      </c>
      <c r="G518" t="str">
        <f>VLOOKUP(F518,รายชื่อลูกบ้าน!$A:$B,2,FALSE)</f>
        <v>คุณภานุรังสิทธิ์-คุณภญาดา หมื่นจันทร์</v>
      </c>
      <c r="H518" t="s">
        <v>424</v>
      </c>
      <c r="I518" s="23">
        <v>600</v>
      </c>
    </row>
    <row r="519" spans="1:10">
      <c r="A519" s="2">
        <v>242220</v>
      </c>
      <c r="B519" s="7" t="s">
        <v>34</v>
      </c>
      <c r="C519" s="3" t="str">
        <f>VLOOKUP(B519,'Accounts chart'!$A:$B,2,FALSE)</f>
        <v>รายรับค่าส่วนกลาง</v>
      </c>
      <c r="D519" t="s">
        <v>744</v>
      </c>
      <c r="E519" t="s">
        <v>614</v>
      </c>
      <c r="F519" t="s">
        <v>337</v>
      </c>
      <c r="G519" t="str">
        <f>VLOOKUP(F519,รายชื่อลูกบ้าน!$A:$B,2,FALSE)</f>
        <v>คุณพงศกร-คุณปิยะพร ปาเลิง</v>
      </c>
      <c r="H519" t="s">
        <v>424</v>
      </c>
      <c r="J519" s="23">
        <v>600</v>
      </c>
    </row>
    <row r="520" spans="1:10">
      <c r="A520" s="2">
        <v>242220</v>
      </c>
      <c r="B520" s="7" t="s">
        <v>34</v>
      </c>
      <c r="C520" s="3" t="str">
        <f>VLOOKUP(B520,'Accounts chart'!$A:$B,2,FALSE)</f>
        <v>รายรับค่าส่วนกลาง</v>
      </c>
      <c r="D520" t="s">
        <v>744</v>
      </c>
      <c r="E520" t="s">
        <v>615</v>
      </c>
      <c r="F520" t="s">
        <v>130</v>
      </c>
      <c r="G520" t="str">
        <f>VLOOKUP(F520,รายชื่อลูกบ้าน!$A:$B,2,FALSE)</f>
        <v>คุณสุทัศน์ หรือสุวรรณ-คุณอัญชลี จิตรเอื้อ</v>
      </c>
      <c r="H520" t="s">
        <v>401</v>
      </c>
      <c r="J520" s="23">
        <v>1800</v>
      </c>
    </row>
    <row r="521" spans="1:10">
      <c r="A521" s="2">
        <v>242220</v>
      </c>
      <c r="B521" s="7" t="s">
        <v>34</v>
      </c>
      <c r="C521" s="3" t="str">
        <f>VLOOKUP(B521,'Accounts chart'!$A:$B,2,FALSE)</f>
        <v>รายรับค่าส่วนกลาง</v>
      </c>
      <c r="D521" t="s">
        <v>744</v>
      </c>
      <c r="E521" t="s">
        <v>616</v>
      </c>
      <c r="F521" t="s">
        <v>185</v>
      </c>
      <c r="G521" t="str">
        <f>VLOOKUP(F521,รายชื่อลูกบ้าน!$A:$B,2,FALSE)</f>
        <v>คุณชาญชัย ตนะศุภผล</v>
      </c>
      <c r="H521" t="s">
        <v>424</v>
      </c>
      <c r="J521" s="23">
        <v>600.54999999999995</v>
      </c>
    </row>
    <row r="522" spans="1:10">
      <c r="A522" s="2">
        <v>242220</v>
      </c>
      <c r="B522" s="7" t="s">
        <v>4</v>
      </c>
      <c r="C522" s="3" t="str">
        <f>VLOOKUP(B522,'Accounts chart'!$A:$B,2,FALSE)</f>
        <v>ลูกหนี้ค่าส่วนกลาง</v>
      </c>
      <c r="D522" t="s">
        <v>744</v>
      </c>
      <c r="E522" t="s">
        <v>617</v>
      </c>
      <c r="F522" t="s">
        <v>148</v>
      </c>
      <c r="G522" t="str">
        <f>VLOOKUP(F522,รายชื่อลูกบ้าน!$A:$B,2,FALSE)</f>
        <v>คุณจักรพงศ์ สุขสวัสดิ์</v>
      </c>
      <c r="H522" t="s">
        <v>660</v>
      </c>
      <c r="J522" s="23">
        <v>1200</v>
      </c>
    </row>
    <row r="523" spans="1:10">
      <c r="A523" s="2">
        <v>242220</v>
      </c>
      <c r="B523" s="7" t="s">
        <v>34</v>
      </c>
      <c r="C523" s="3" t="str">
        <f>VLOOKUP(B523,'Accounts chart'!$A:$B,2,FALSE)</f>
        <v>รายรับค่าส่วนกลาง</v>
      </c>
      <c r="D523" t="s">
        <v>744</v>
      </c>
      <c r="E523" t="s">
        <v>618</v>
      </c>
      <c r="F523" t="s">
        <v>295</v>
      </c>
      <c r="G523" t="str">
        <f>VLOOKUP(F523,รายชื่อลูกบ้าน!$A:$B,2,FALSE)</f>
        <v>คุณภานุรังสิทธิ์-คุณภญาดา หมื่นจันทร์</v>
      </c>
      <c r="H523" t="s">
        <v>424</v>
      </c>
      <c r="J523" s="23">
        <v>600</v>
      </c>
    </row>
    <row r="524" spans="1:10">
      <c r="A524" s="2"/>
      <c r="C524" s="3"/>
    </row>
    <row r="525" spans="1:10">
      <c r="A525" s="2">
        <v>242221</v>
      </c>
      <c r="B525" s="7" t="s">
        <v>3</v>
      </c>
      <c r="C525" s="3" t="str">
        <f>VLOOKUP(B525,'Accounts chart'!$A:$B,2,FALSE)</f>
        <v>ธนาคารกสิกรไทย SA-040-1-56500-0</v>
      </c>
      <c r="D525" t="s">
        <v>745</v>
      </c>
      <c r="E525" t="s">
        <v>619</v>
      </c>
      <c r="F525" t="s">
        <v>354</v>
      </c>
      <c r="G525" t="str">
        <f>VLOOKUP(F525,รายชื่อลูกบ้าน!$A:$B,2,FALSE)</f>
        <v>คุณสุรัตน์ พันธุ์แย้มมาลี</v>
      </c>
      <c r="H525" t="s">
        <v>385</v>
      </c>
      <c r="I525" s="23">
        <v>600</v>
      </c>
    </row>
    <row r="526" spans="1:10">
      <c r="A526" s="2">
        <v>242221</v>
      </c>
      <c r="B526" s="7" t="s">
        <v>3</v>
      </c>
      <c r="C526" s="3" t="str">
        <f>VLOOKUP(B526,'Accounts chart'!$A:$B,2,FALSE)</f>
        <v>ธนาคารกสิกรไทย SA-040-1-56500-0</v>
      </c>
      <c r="D526" t="s">
        <v>745</v>
      </c>
      <c r="E526" t="s">
        <v>620</v>
      </c>
      <c r="F526" t="s">
        <v>313</v>
      </c>
      <c r="G526" t="str">
        <f>VLOOKUP(F526,รายชื่อลูกบ้าน!$A:$B,2,FALSE)</f>
        <v>คุณภานุมาศ ธนาธรศิริยุทธ์</v>
      </c>
      <c r="H526" t="s">
        <v>424</v>
      </c>
      <c r="I526" s="23">
        <v>600</v>
      </c>
    </row>
    <row r="527" spans="1:10">
      <c r="A527" s="2">
        <v>242221</v>
      </c>
      <c r="B527" s="7" t="s">
        <v>3</v>
      </c>
      <c r="C527" s="3" t="str">
        <f>VLOOKUP(B527,'Accounts chart'!$A:$B,2,FALSE)</f>
        <v>ธนาคารกสิกรไทย SA-040-1-56500-0</v>
      </c>
      <c r="D527" t="s">
        <v>745</v>
      </c>
      <c r="E527" t="s">
        <v>621</v>
      </c>
      <c r="F527" t="s">
        <v>317</v>
      </c>
      <c r="G527" t="str">
        <f>VLOOKUP(F527,รายชื่อลูกบ้าน!$A:$B,2,FALSE)</f>
        <v>คุณจิระศักดิ์ จันทร์โท</v>
      </c>
      <c r="H527" t="s">
        <v>661</v>
      </c>
      <c r="I527" s="23">
        <v>1200</v>
      </c>
    </row>
    <row r="528" spans="1:10">
      <c r="A528" s="2">
        <v>242221</v>
      </c>
      <c r="B528" s="7" t="s">
        <v>3</v>
      </c>
      <c r="C528" s="3" t="str">
        <f>VLOOKUP(B528,'Accounts chart'!$A:$B,2,FALSE)</f>
        <v>ธนาคารกสิกรไทย SA-040-1-56500-0</v>
      </c>
      <c r="D528" t="s">
        <v>745</v>
      </c>
      <c r="E528" t="s">
        <v>622</v>
      </c>
      <c r="F528" t="s">
        <v>159</v>
      </c>
      <c r="G528" t="str">
        <f>VLOOKUP(F528,รายชื่อลูกบ้าน!$A:$B,2,FALSE)</f>
        <v>คุณอดุลย์ แก้วอำไพ</v>
      </c>
      <c r="H528" t="s">
        <v>424</v>
      </c>
      <c r="I528" s="23">
        <v>600</v>
      </c>
    </row>
    <row r="529" spans="1:10">
      <c r="A529" s="2">
        <v>242221</v>
      </c>
      <c r="B529" s="7" t="s">
        <v>34</v>
      </c>
      <c r="C529" s="3" t="str">
        <f>VLOOKUP(B529,'Accounts chart'!$A:$B,2,FALSE)</f>
        <v>รายรับค่าส่วนกลาง</v>
      </c>
      <c r="D529" t="s">
        <v>745</v>
      </c>
      <c r="E529" t="s">
        <v>619</v>
      </c>
      <c r="F529" t="s">
        <v>354</v>
      </c>
      <c r="G529" t="str">
        <f>VLOOKUP(F529,รายชื่อลูกบ้าน!$A:$B,2,FALSE)</f>
        <v>คุณสุรัตน์ พันธุ์แย้มมาลี</v>
      </c>
      <c r="H529" t="s">
        <v>385</v>
      </c>
      <c r="J529" s="23">
        <v>600</v>
      </c>
    </row>
    <row r="530" spans="1:10">
      <c r="A530" s="2">
        <v>242221</v>
      </c>
      <c r="B530" s="7" t="s">
        <v>34</v>
      </c>
      <c r="C530" s="3" t="str">
        <f>VLOOKUP(B530,'Accounts chart'!$A:$B,2,FALSE)</f>
        <v>รายรับค่าส่วนกลาง</v>
      </c>
      <c r="D530" t="s">
        <v>745</v>
      </c>
      <c r="E530" t="s">
        <v>620</v>
      </c>
      <c r="F530" t="s">
        <v>313</v>
      </c>
      <c r="G530" t="str">
        <f>VLOOKUP(F530,รายชื่อลูกบ้าน!$A:$B,2,FALSE)</f>
        <v>คุณภานุมาศ ธนาธรศิริยุทธ์</v>
      </c>
      <c r="H530" t="s">
        <v>424</v>
      </c>
      <c r="J530" s="23">
        <v>600</v>
      </c>
    </row>
    <row r="531" spans="1:10">
      <c r="A531" s="2">
        <v>242221</v>
      </c>
      <c r="B531" s="7" t="s">
        <v>34</v>
      </c>
      <c r="C531" s="3" t="str">
        <f>VLOOKUP(B531,'Accounts chart'!$A:$B,2,FALSE)</f>
        <v>รายรับค่าส่วนกลาง</v>
      </c>
      <c r="D531" t="s">
        <v>745</v>
      </c>
      <c r="E531" t="s">
        <v>621</v>
      </c>
      <c r="F531" t="s">
        <v>317</v>
      </c>
      <c r="G531" t="str">
        <f>VLOOKUP(F531,รายชื่อลูกบ้าน!$A:$B,2,FALSE)</f>
        <v>คุณจิระศักดิ์ จันทร์โท</v>
      </c>
      <c r="H531" t="s">
        <v>661</v>
      </c>
      <c r="J531" s="23">
        <v>1200</v>
      </c>
    </row>
    <row r="532" spans="1:10">
      <c r="A532" s="2">
        <v>242221</v>
      </c>
      <c r="B532" s="7" t="s">
        <v>34</v>
      </c>
      <c r="C532" s="3" t="str">
        <f>VLOOKUP(B532,'Accounts chart'!$A:$B,2,FALSE)</f>
        <v>รายรับค่าส่วนกลาง</v>
      </c>
      <c r="D532" t="s">
        <v>745</v>
      </c>
      <c r="E532" t="s">
        <v>622</v>
      </c>
      <c r="F532" t="s">
        <v>159</v>
      </c>
      <c r="G532" t="str">
        <f>VLOOKUP(F532,รายชื่อลูกบ้าน!$A:$B,2,FALSE)</f>
        <v>คุณอดุลย์ แก้วอำไพ</v>
      </c>
      <c r="H532" t="s">
        <v>424</v>
      </c>
      <c r="J532" s="23">
        <v>600</v>
      </c>
    </row>
    <row r="533" spans="1:10">
      <c r="A533" s="2"/>
      <c r="C533" s="3"/>
    </row>
    <row r="534" spans="1:10">
      <c r="A534" s="2"/>
      <c r="C534" s="3"/>
    </row>
    <row r="535" spans="1:10">
      <c r="A535" s="2"/>
      <c r="C535" s="3"/>
    </row>
    <row r="536" spans="1:10">
      <c r="A536" s="2">
        <v>242222</v>
      </c>
      <c r="B536" s="7" t="s">
        <v>3</v>
      </c>
      <c r="C536" s="3" t="str">
        <f>VLOOKUP(B536,'Accounts chart'!$A:$B,2,FALSE)</f>
        <v>ธนาคารกสิกรไทย SA-040-1-56500-0</v>
      </c>
      <c r="D536" t="s">
        <v>746</v>
      </c>
      <c r="E536" t="s">
        <v>623</v>
      </c>
      <c r="F536" t="s">
        <v>311</v>
      </c>
      <c r="G536" t="str">
        <f>VLOOKUP(F536,รายชื่อลูกบ้าน!$A:$B,2,FALSE)</f>
        <v>คุณปิยณัฐ ปัญญาสวัสดิ์</v>
      </c>
      <c r="H536" t="s">
        <v>424</v>
      </c>
      <c r="I536" s="23">
        <v>600</v>
      </c>
    </row>
    <row r="537" spans="1:10">
      <c r="A537" s="25">
        <v>242222</v>
      </c>
      <c r="B537" s="26" t="s">
        <v>3</v>
      </c>
      <c r="C537" s="27" t="str">
        <f>VLOOKUP(B537,'Accounts chart'!$A:$B,2,FALSE)</f>
        <v>ธนาคารกสิกรไทย SA-040-1-56500-0</v>
      </c>
      <c r="D537" s="4" t="s">
        <v>746</v>
      </c>
      <c r="E537" s="4" t="s">
        <v>624</v>
      </c>
      <c r="F537" s="4" t="s">
        <v>656</v>
      </c>
      <c r="G537" s="4" t="e">
        <f>VLOOKUP(F537,รายชื่อลูกบ้าน!$A:$B,2,FALSE)</f>
        <v>#N/A</v>
      </c>
      <c r="H537" s="4" t="s">
        <v>662</v>
      </c>
      <c r="I537" s="28">
        <v>600</v>
      </c>
      <c r="J537" s="28"/>
    </row>
    <row r="538" spans="1:10">
      <c r="A538" s="2">
        <v>242223</v>
      </c>
      <c r="B538" s="7" t="s">
        <v>3</v>
      </c>
      <c r="C538" s="3" t="str">
        <f>VLOOKUP(B538,'Accounts chart'!$A:$B,2,FALSE)</f>
        <v>ธนาคารกสิกรไทย SA-040-1-56500-0</v>
      </c>
      <c r="D538" t="s">
        <v>746</v>
      </c>
      <c r="E538" t="s">
        <v>625</v>
      </c>
      <c r="F538" t="s">
        <v>95</v>
      </c>
      <c r="G538" t="str">
        <f>VLOOKUP(F538,รายชื่อลูกบ้าน!$A:$B,2,FALSE)</f>
        <v>คุณธีรภาพ ตาลลักษมณี</v>
      </c>
      <c r="H538" t="s">
        <v>401</v>
      </c>
      <c r="I538" s="23">
        <v>1800</v>
      </c>
    </row>
    <row r="539" spans="1:10">
      <c r="A539" s="2">
        <v>242223</v>
      </c>
      <c r="B539" s="7" t="s">
        <v>3</v>
      </c>
      <c r="C539" s="3" t="str">
        <f>VLOOKUP(B539,'Accounts chart'!$A:$B,2,FALSE)</f>
        <v>ธนาคารกสิกรไทย SA-040-1-56500-0</v>
      </c>
      <c r="D539" t="s">
        <v>746</v>
      </c>
      <c r="E539" t="s">
        <v>626</v>
      </c>
      <c r="F539" t="s">
        <v>360</v>
      </c>
      <c r="G539" t="str">
        <f>VLOOKUP(F539,รายชื่อลูกบ้าน!$A:$B,2,FALSE)</f>
        <v>คุณวิษา มีมาก</v>
      </c>
      <c r="H539" t="s">
        <v>424</v>
      </c>
      <c r="I539" s="23">
        <v>600</v>
      </c>
    </row>
    <row r="540" spans="1:10">
      <c r="A540" s="2">
        <v>242223</v>
      </c>
      <c r="B540" s="7" t="s">
        <v>3</v>
      </c>
      <c r="C540" s="3" t="str">
        <f>VLOOKUP(B540,'Accounts chart'!$A:$B,2,FALSE)</f>
        <v>ธนาคารกสิกรไทย SA-040-1-56500-0</v>
      </c>
      <c r="D540" t="s">
        <v>746</v>
      </c>
      <c r="E540" t="s">
        <v>627</v>
      </c>
      <c r="F540" t="s">
        <v>223</v>
      </c>
      <c r="G540" t="str">
        <f>VLOOKUP(F540,รายชื่อลูกบ้าน!$A:$B,2,FALSE)</f>
        <v>คุณสุจิตรา เนินคีริ</v>
      </c>
      <c r="H540" t="s">
        <v>385</v>
      </c>
      <c r="I540" s="23">
        <v>600</v>
      </c>
    </row>
    <row r="541" spans="1:10">
      <c r="A541" s="2">
        <v>242222</v>
      </c>
      <c r="B541" s="7" t="s">
        <v>34</v>
      </c>
      <c r="C541" s="3" t="str">
        <f>VLOOKUP(B541,'Accounts chart'!$A:$B,2,FALSE)</f>
        <v>รายรับค่าส่วนกลาง</v>
      </c>
      <c r="D541" t="s">
        <v>746</v>
      </c>
      <c r="E541" t="s">
        <v>623</v>
      </c>
      <c r="F541" t="s">
        <v>311</v>
      </c>
      <c r="G541" t="str">
        <f>VLOOKUP(F541,รายชื่อลูกบ้าน!$A:$B,2,FALSE)</f>
        <v>คุณปิยณัฐ ปัญญาสวัสดิ์</v>
      </c>
      <c r="H541" t="s">
        <v>424</v>
      </c>
      <c r="J541" s="23">
        <v>600</v>
      </c>
    </row>
    <row r="542" spans="1:10">
      <c r="A542" s="25">
        <v>242222</v>
      </c>
      <c r="B542" s="26" t="s">
        <v>26</v>
      </c>
      <c r="C542" s="27" t="str">
        <f>VLOOKUP(B542,'Accounts chart'!$A:$B,2,FALSE)</f>
        <v>รายได้ค่าส่วนกลางไม่ทราบชือ</v>
      </c>
      <c r="D542" s="4" t="s">
        <v>746</v>
      </c>
      <c r="E542" s="4" t="s">
        <v>624</v>
      </c>
      <c r="F542" s="4" t="s">
        <v>656</v>
      </c>
      <c r="G542" s="4" t="e">
        <f>VLOOKUP(F542,รายชื่อลูกบ้าน!$A:$B,2,FALSE)</f>
        <v>#N/A</v>
      </c>
      <c r="H542" s="4" t="s">
        <v>662</v>
      </c>
      <c r="I542" s="28"/>
      <c r="J542" s="28">
        <v>600</v>
      </c>
    </row>
    <row r="543" spans="1:10">
      <c r="A543" s="2">
        <v>242223</v>
      </c>
      <c r="B543" s="7" t="s">
        <v>34</v>
      </c>
      <c r="C543" s="3" t="str">
        <f>VLOOKUP(B543,'Accounts chart'!$A:$B,2,FALSE)</f>
        <v>รายรับค่าส่วนกลาง</v>
      </c>
      <c r="D543" t="s">
        <v>746</v>
      </c>
      <c r="E543" t="s">
        <v>625</v>
      </c>
      <c r="F543" t="s">
        <v>95</v>
      </c>
      <c r="G543" t="str">
        <f>VLOOKUP(F543,รายชื่อลูกบ้าน!$A:$B,2,FALSE)</f>
        <v>คุณธีรภาพ ตาลลักษมณี</v>
      </c>
      <c r="H543" t="s">
        <v>401</v>
      </c>
      <c r="J543" s="23">
        <v>1800</v>
      </c>
    </row>
    <row r="544" spans="1:10">
      <c r="A544" s="2">
        <v>242223</v>
      </c>
      <c r="B544" s="7" t="s">
        <v>34</v>
      </c>
      <c r="C544" s="3" t="str">
        <f>VLOOKUP(B544,'Accounts chart'!$A:$B,2,FALSE)</f>
        <v>รายรับค่าส่วนกลาง</v>
      </c>
      <c r="D544" t="s">
        <v>746</v>
      </c>
      <c r="E544" t="s">
        <v>626</v>
      </c>
      <c r="F544" t="s">
        <v>360</v>
      </c>
      <c r="G544" t="str">
        <f>VLOOKUP(F544,รายชื่อลูกบ้าน!$A:$B,2,FALSE)</f>
        <v>คุณวิษา มีมาก</v>
      </c>
      <c r="H544" t="s">
        <v>424</v>
      </c>
      <c r="J544" s="23">
        <v>600</v>
      </c>
    </row>
    <row r="545" spans="1:10">
      <c r="A545" s="2">
        <v>242223</v>
      </c>
      <c r="B545" s="7" t="s">
        <v>34</v>
      </c>
      <c r="C545" s="3" t="str">
        <f>VLOOKUP(B545,'Accounts chart'!$A:$B,2,FALSE)</f>
        <v>รายรับค่าส่วนกลาง</v>
      </c>
      <c r="D545" t="s">
        <v>746</v>
      </c>
      <c r="E545" t="s">
        <v>627</v>
      </c>
      <c r="F545" t="s">
        <v>223</v>
      </c>
      <c r="G545" t="str">
        <f>VLOOKUP(F545,รายชื่อลูกบ้าน!$A:$B,2,FALSE)</f>
        <v>คุณสุจิตรา เนินคีริ</v>
      </c>
      <c r="H545" t="s">
        <v>385</v>
      </c>
      <c r="J545" s="23">
        <v>600</v>
      </c>
    </row>
    <row r="546" spans="1:10">
      <c r="A546" s="2"/>
      <c r="C546" s="3"/>
    </row>
    <row r="547" spans="1:10">
      <c r="A547" s="2">
        <v>242225</v>
      </c>
      <c r="B547" s="7" t="s">
        <v>3</v>
      </c>
      <c r="C547" s="3" t="str">
        <f>VLOOKUP(B547,'Accounts chart'!$A:$B,2,FALSE)</f>
        <v>ธนาคารกสิกรไทย SA-040-1-56500-0</v>
      </c>
      <c r="D547" t="s">
        <v>747</v>
      </c>
      <c r="E547" t="s">
        <v>628</v>
      </c>
      <c r="F547" t="s">
        <v>137</v>
      </c>
      <c r="G547" t="str">
        <f>VLOOKUP(F547,รายชื่อลูกบ้าน!$A:$B,2,FALSE)</f>
        <v>คุณฐานันดร์ ไอยราพงศ์</v>
      </c>
      <c r="H547" t="s">
        <v>401</v>
      </c>
      <c r="I547" s="23">
        <v>1800</v>
      </c>
    </row>
    <row r="548" spans="1:10">
      <c r="A548" s="2">
        <v>242225</v>
      </c>
      <c r="B548" s="7" t="s">
        <v>3</v>
      </c>
      <c r="C548" s="3" t="str">
        <f>VLOOKUP(B548,'Accounts chart'!$A:$B,2,FALSE)</f>
        <v>ธนาคารกสิกรไทย SA-040-1-56500-0</v>
      </c>
      <c r="D548" t="s">
        <v>747</v>
      </c>
      <c r="E548" t="s">
        <v>629</v>
      </c>
      <c r="F548" t="s">
        <v>256</v>
      </c>
      <c r="G548" t="str">
        <f>VLOOKUP(F548,รายชื่อลูกบ้าน!$A:$B,2,FALSE)</f>
        <v>คุณพิชชา ขำสุวรรณ</v>
      </c>
      <c r="H548" t="s">
        <v>663</v>
      </c>
      <c r="I548" s="23">
        <v>1200</v>
      </c>
    </row>
    <row r="549" spans="1:10">
      <c r="A549" s="2">
        <v>242225</v>
      </c>
      <c r="B549" s="7" t="s">
        <v>3</v>
      </c>
      <c r="C549" s="3" t="str">
        <f>VLOOKUP(B549,'Accounts chart'!$A:$B,2,FALSE)</f>
        <v>ธนาคารกสิกรไทย SA-040-1-56500-0</v>
      </c>
      <c r="D549" t="s">
        <v>747</v>
      </c>
      <c r="E549" t="s">
        <v>630</v>
      </c>
      <c r="F549" t="s">
        <v>279</v>
      </c>
      <c r="G549" t="str">
        <f>VLOOKUP(F549,รายชื่อลูกบ้าน!$A:$B,2,FALSE)</f>
        <v>คุณเสกสิทธิ์ คำธานี</v>
      </c>
      <c r="H549" t="s">
        <v>385</v>
      </c>
      <c r="I549" s="23">
        <v>601.09</v>
      </c>
    </row>
    <row r="550" spans="1:10">
      <c r="A550" s="2">
        <v>242225</v>
      </c>
      <c r="B550" s="7" t="s">
        <v>34</v>
      </c>
      <c r="C550" s="3" t="str">
        <f>VLOOKUP(B550,'Accounts chart'!$A:$B,2,FALSE)</f>
        <v>รายรับค่าส่วนกลาง</v>
      </c>
      <c r="D550" t="s">
        <v>747</v>
      </c>
      <c r="E550" t="s">
        <v>628</v>
      </c>
      <c r="F550" t="s">
        <v>137</v>
      </c>
      <c r="G550" t="str">
        <f>VLOOKUP(F550,รายชื่อลูกบ้าน!$A:$B,2,FALSE)</f>
        <v>คุณฐานันดร์ ไอยราพงศ์</v>
      </c>
      <c r="H550" t="s">
        <v>401</v>
      </c>
      <c r="J550" s="23">
        <v>1800</v>
      </c>
    </row>
    <row r="551" spans="1:10">
      <c r="A551" s="2">
        <v>242225</v>
      </c>
      <c r="B551" s="7" t="s">
        <v>34</v>
      </c>
      <c r="C551" s="3" t="str">
        <f>VLOOKUP(B551,'Accounts chart'!$A:$B,2,FALSE)</f>
        <v>รายรับค่าส่วนกลาง</v>
      </c>
      <c r="D551" t="s">
        <v>747</v>
      </c>
      <c r="E551" t="s">
        <v>629</v>
      </c>
      <c r="F551" t="s">
        <v>256</v>
      </c>
      <c r="G551" t="str">
        <f>VLOOKUP(F551,รายชื่อลูกบ้าน!$A:$B,2,FALSE)</f>
        <v>คุณพิชชา ขำสุวรรณ</v>
      </c>
      <c r="H551" t="s">
        <v>663</v>
      </c>
      <c r="J551" s="23">
        <v>1200</v>
      </c>
    </row>
    <row r="552" spans="1:10">
      <c r="A552" s="2">
        <v>242225</v>
      </c>
      <c r="B552" s="7" t="s">
        <v>34</v>
      </c>
      <c r="C552" s="3" t="str">
        <f>VLOOKUP(B552,'Accounts chart'!$A:$B,2,FALSE)</f>
        <v>รายรับค่าส่วนกลาง</v>
      </c>
      <c r="D552" t="s">
        <v>747</v>
      </c>
      <c r="E552" t="s">
        <v>630</v>
      </c>
      <c r="F552" t="s">
        <v>279</v>
      </c>
      <c r="G552" t="str">
        <f>VLOOKUP(F552,รายชื่อลูกบ้าน!$A:$B,2,FALSE)</f>
        <v>คุณเสกสิทธิ์ คำธานี</v>
      </c>
      <c r="H552" t="s">
        <v>385</v>
      </c>
      <c r="J552" s="23">
        <v>601.09</v>
      </c>
    </row>
    <row r="553" spans="1:10">
      <c r="A553" s="2"/>
      <c r="C553" s="3"/>
      <c r="I553" s="20"/>
      <c r="J553" s="20"/>
    </row>
    <row r="554" spans="1:10">
      <c r="A554" s="2">
        <v>242226</v>
      </c>
      <c r="B554" s="7" t="s">
        <v>18</v>
      </c>
      <c r="C554" s="3" t="str">
        <f>VLOOKUP(B554,'Accounts chart'!$A:$B,2,FALSE)</f>
        <v>ค่ารักษาความปลอดภัยค้างจ่าย</v>
      </c>
      <c r="D554" t="s">
        <v>928</v>
      </c>
      <c r="G554" t="s">
        <v>769</v>
      </c>
      <c r="H554" t="s">
        <v>794</v>
      </c>
      <c r="I554" s="20">
        <v>38814.32</v>
      </c>
      <c r="J554" s="20"/>
    </row>
    <row r="555" spans="1:10">
      <c r="A555" s="2">
        <v>242226</v>
      </c>
      <c r="B555" s="7" t="s">
        <v>2</v>
      </c>
      <c r="C555" s="3" t="str">
        <f>VLOOKUP(B555,'Accounts chart'!$A:$B,2,FALSE)</f>
        <v>ธนาคารกสิกรไทย CA-040-1-57563-4</v>
      </c>
      <c r="D555" t="s">
        <v>928</v>
      </c>
      <c r="G555" t="s">
        <v>769</v>
      </c>
      <c r="H555" t="s">
        <v>794</v>
      </c>
      <c r="I555" s="20"/>
      <c r="J555" s="20">
        <v>38814.32</v>
      </c>
    </row>
    <row r="556" spans="1:10">
      <c r="A556" s="2"/>
      <c r="C556" s="3"/>
      <c r="I556" s="20"/>
      <c r="J556" s="20"/>
    </row>
    <row r="557" spans="1:10">
      <c r="A557" s="2">
        <v>242226</v>
      </c>
      <c r="B557" s="7" t="s">
        <v>16</v>
      </c>
      <c r="C557" s="3" t="str">
        <f>VLOOKUP(B557,'Accounts chart'!$A:$B,2,FALSE)</f>
        <v>ค่าบริการดูแลสระว่ายน้ำค้างจ่าย</v>
      </c>
      <c r="D557" t="s">
        <v>929</v>
      </c>
      <c r="G557" t="s">
        <v>775</v>
      </c>
      <c r="H557" t="s">
        <v>795</v>
      </c>
      <c r="I557" s="20">
        <v>7500</v>
      </c>
      <c r="J557" s="20"/>
    </row>
    <row r="558" spans="1:10">
      <c r="A558" s="2">
        <v>242226</v>
      </c>
      <c r="B558" s="7" t="s">
        <v>2</v>
      </c>
      <c r="C558" s="3" t="str">
        <f>VLOOKUP(B558,'Accounts chart'!$A:$B,2,FALSE)</f>
        <v>ธนาคารกสิกรไทย CA-040-1-57563-4</v>
      </c>
      <c r="D558" t="s">
        <v>929</v>
      </c>
      <c r="G558" t="s">
        <v>775</v>
      </c>
      <c r="H558" t="s">
        <v>795</v>
      </c>
      <c r="I558" s="20"/>
      <c r="J558" s="20">
        <v>7500</v>
      </c>
    </row>
    <row r="559" spans="1:10">
      <c r="A559" s="2"/>
      <c r="C559" s="3"/>
      <c r="I559" s="20"/>
      <c r="J559" s="20"/>
    </row>
    <row r="560" spans="1:10">
      <c r="A560" s="2">
        <v>242226</v>
      </c>
      <c r="B560" s="7" t="s">
        <v>44</v>
      </c>
      <c r="C560" s="3" t="str">
        <f>VLOOKUP(B560,'Accounts chart'!$A:$B,2,FALSE)</f>
        <v>วัสดุสิ้นเปลือง</v>
      </c>
      <c r="D560" t="s">
        <v>930</v>
      </c>
      <c r="H560" t="s">
        <v>796</v>
      </c>
      <c r="I560" s="20">
        <v>920</v>
      </c>
      <c r="J560" s="20"/>
    </row>
    <row r="561" spans="1:10">
      <c r="A561" s="2">
        <v>242226</v>
      </c>
      <c r="B561" s="7" t="s">
        <v>2</v>
      </c>
      <c r="C561" s="3" t="str">
        <f>VLOOKUP(B561,'Accounts chart'!$A:$B,2,FALSE)</f>
        <v>ธนาคารกสิกรไทย CA-040-1-57563-4</v>
      </c>
      <c r="D561" t="s">
        <v>930</v>
      </c>
      <c r="H561" t="s">
        <v>796</v>
      </c>
      <c r="I561" s="20"/>
      <c r="J561" s="20">
        <v>920</v>
      </c>
    </row>
    <row r="562" spans="1:10">
      <c r="A562" s="2"/>
      <c r="C562" s="3"/>
      <c r="I562" s="20"/>
      <c r="J562" s="20"/>
    </row>
    <row r="563" spans="1:10">
      <c r="A563" s="2">
        <v>242226</v>
      </c>
      <c r="B563" s="7" t="s">
        <v>22</v>
      </c>
      <c r="C563" s="3" t="str">
        <f>VLOOKUP(B563,'Accounts chart'!$A:$B,2,FALSE)</f>
        <v>ค่าดูแลส่วนกลางค้างจ่าย</v>
      </c>
      <c r="D563" t="s">
        <v>931</v>
      </c>
      <c r="G563" t="s">
        <v>771</v>
      </c>
      <c r="H563" t="s">
        <v>797</v>
      </c>
      <c r="I563" s="20">
        <v>15000</v>
      </c>
      <c r="J563" s="20"/>
    </row>
    <row r="564" spans="1:10">
      <c r="A564" s="2">
        <v>242226</v>
      </c>
      <c r="B564" s="7" t="s">
        <v>3</v>
      </c>
      <c r="C564" s="3" t="str">
        <f>VLOOKUP(B564,'Accounts chart'!$A:$B,2,FALSE)</f>
        <v>ธนาคารกสิกรไทย SA-040-1-56500-0</v>
      </c>
      <c r="D564" t="s">
        <v>931</v>
      </c>
      <c r="G564" t="s">
        <v>771</v>
      </c>
      <c r="H564" t="s">
        <v>797</v>
      </c>
      <c r="I564" s="20"/>
      <c r="J564" s="20">
        <v>15000</v>
      </c>
    </row>
    <row r="565" spans="1:10">
      <c r="A565" s="2"/>
      <c r="C565" s="3"/>
      <c r="I565" s="20"/>
      <c r="J565" s="20"/>
    </row>
    <row r="566" spans="1:10">
      <c r="A566" s="2">
        <v>242226</v>
      </c>
      <c r="B566" s="7" t="s">
        <v>20</v>
      </c>
      <c r="C566" s="3" t="str">
        <f>VLOOKUP(B566,'Accounts chart'!$A:$B,2,FALSE)</f>
        <v>ค่าไฟฟ้าค้างจ่าย</v>
      </c>
      <c r="D566" t="s">
        <v>932</v>
      </c>
      <c r="G566" t="s">
        <v>777</v>
      </c>
      <c r="H566" t="s">
        <v>798</v>
      </c>
      <c r="I566" s="20">
        <v>5769.34</v>
      </c>
      <c r="J566" s="20"/>
    </row>
    <row r="567" spans="1:10">
      <c r="A567" s="2">
        <v>242226</v>
      </c>
      <c r="B567" s="7" t="s">
        <v>2</v>
      </c>
      <c r="C567" s="3" t="str">
        <f>VLOOKUP(B567,'Accounts chart'!$A:$B,2,FALSE)</f>
        <v>ธนาคารกสิกรไทย CA-040-1-57563-4</v>
      </c>
      <c r="D567" t="s">
        <v>932</v>
      </c>
      <c r="G567" t="s">
        <v>777</v>
      </c>
      <c r="H567" t="s">
        <v>798</v>
      </c>
      <c r="I567" s="20"/>
      <c r="J567" s="20">
        <v>5769.34</v>
      </c>
    </row>
    <row r="568" spans="1:10">
      <c r="A568" s="2"/>
      <c r="C568" s="3"/>
      <c r="I568" s="20"/>
      <c r="J568" s="20"/>
    </row>
    <row r="569" spans="1:10">
      <c r="A569" s="2">
        <v>242227</v>
      </c>
      <c r="B569" s="7" t="s">
        <v>14</v>
      </c>
      <c r="C569" s="3" t="str">
        <f>VLOOKUP(B569,'Accounts chart'!$A:$B,2,FALSE)</f>
        <v>ค่าเก็บขยะค้างจ่าย</v>
      </c>
      <c r="D569" t="s">
        <v>933</v>
      </c>
      <c r="G569" t="s">
        <v>801</v>
      </c>
      <c r="H569" t="s">
        <v>799</v>
      </c>
      <c r="I569" s="20">
        <v>3000</v>
      </c>
      <c r="J569" s="20"/>
    </row>
    <row r="570" spans="1:10">
      <c r="A570" s="2">
        <v>242227</v>
      </c>
      <c r="B570" s="7" t="s">
        <v>2</v>
      </c>
      <c r="C570" s="3" t="str">
        <f>VLOOKUP(B570,'Accounts chart'!$A:$B,2,FALSE)</f>
        <v>ธนาคารกสิกรไทย CA-040-1-57563-4</v>
      </c>
      <c r="D570" t="s">
        <v>933</v>
      </c>
      <c r="G570" t="s">
        <v>801</v>
      </c>
      <c r="H570" t="s">
        <v>799</v>
      </c>
      <c r="I570" s="20"/>
      <c r="J570" s="20">
        <v>3000</v>
      </c>
    </row>
    <row r="571" spans="1:10">
      <c r="A571" s="2"/>
      <c r="C571" s="3"/>
      <c r="I571" s="20"/>
      <c r="J571" s="20"/>
    </row>
    <row r="572" spans="1:10">
      <c r="A572" s="2">
        <v>242227</v>
      </c>
      <c r="B572" s="7" t="s">
        <v>24</v>
      </c>
      <c r="C572" s="3" t="str">
        <f>VLOOKUP(B572,'Accounts chart'!$A:$B,2,FALSE)</f>
        <v>ค่าบริการทำบัญชีค้างจ่าย</v>
      </c>
      <c r="D572" t="s">
        <v>934</v>
      </c>
      <c r="G572" t="s">
        <v>802</v>
      </c>
      <c r="H572" t="s">
        <v>800</v>
      </c>
      <c r="I572" s="20">
        <v>2000</v>
      </c>
      <c r="J572" s="20"/>
    </row>
    <row r="573" spans="1:10">
      <c r="A573" s="2">
        <v>242231</v>
      </c>
      <c r="B573" s="7" t="s">
        <v>58</v>
      </c>
      <c r="C573" s="3" t="str">
        <f>VLOOKUP(B573,'Accounts chart'!$A:$B,2,FALSE)</f>
        <v>ค่าบริการทำบัญชี</v>
      </c>
      <c r="D573" t="s">
        <v>934</v>
      </c>
      <c r="G573" t="s">
        <v>802</v>
      </c>
      <c r="H573" t="s">
        <v>800</v>
      </c>
      <c r="I573" s="20">
        <v>2000</v>
      </c>
      <c r="J573" s="20"/>
    </row>
    <row r="574" spans="1:10">
      <c r="A574" s="2">
        <v>242231</v>
      </c>
      <c r="B574" s="7" t="s">
        <v>2</v>
      </c>
      <c r="C574" s="3" t="str">
        <f>VLOOKUP(B574,'Accounts chart'!$A:$B,2,FALSE)</f>
        <v>ธนาคารกสิกรไทย CA-040-1-57563-4</v>
      </c>
      <c r="D574" t="s">
        <v>934</v>
      </c>
      <c r="G574" t="s">
        <v>802</v>
      </c>
      <c r="H574" t="s">
        <v>800</v>
      </c>
      <c r="I574" s="20"/>
      <c r="J574" s="20">
        <v>4000</v>
      </c>
    </row>
    <row r="575" spans="1:10">
      <c r="A575" s="2"/>
      <c r="C575" s="3"/>
    </row>
    <row r="576" spans="1:10">
      <c r="A576" s="2">
        <v>242228</v>
      </c>
      <c r="B576" s="7" t="s">
        <v>3</v>
      </c>
      <c r="C576" s="3" t="str">
        <f>VLOOKUP(B576,'Accounts chart'!$A:$B,2,FALSE)</f>
        <v>ธนาคารกสิกรไทย SA-040-1-56500-0</v>
      </c>
      <c r="D576" t="s">
        <v>748</v>
      </c>
      <c r="E576" t="s">
        <v>631</v>
      </c>
      <c r="F576" t="s">
        <v>304</v>
      </c>
      <c r="G576" t="str">
        <f>VLOOKUP(F576,รายชื่อลูกบ้าน!$A:$B,2,FALSE)</f>
        <v>คุณกฤษณะ ฤทธิ์โพธิ์</v>
      </c>
      <c r="H576" t="s">
        <v>385</v>
      </c>
      <c r="I576" s="23">
        <v>600</v>
      </c>
    </row>
    <row r="577" spans="1:10">
      <c r="A577" s="2">
        <v>242228</v>
      </c>
      <c r="B577" s="7" t="s">
        <v>3</v>
      </c>
      <c r="C577" s="3" t="str">
        <f>VLOOKUP(B577,'Accounts chart'!$A:$B,2,FALSE)</f>
        <v>ธนาคารกสิกรไทย SA-040-1-56500-0</v>
      </c>
      <c r="D577" t="s">
        <v>748</v>
      </c>
      <c r="E577" t="s">
        <v>632</v>
      </c>
      <c r="F577" t="s">
        <v>152</v>
      </c>
      <c r="G577" t="str">
        <f>VLOOKUP(F577,รายชื่อลูกบ้าน!$A:$B,2,FALSE)</f>
        <v>คุณนฤมล ศรีแก้วแดง</v>
      </c>
      <c r="H577" t="s">
        <v>664</v>
      </c>
      <c r="I577" s="23">
        <v>7000</v>
      </c>
    </row>
    <row r="578" spans="1:10">
      <c r="A578" s="2">
        <v>242228</v>
      </c>
      <c r="B578" s="7" t="s">
        <v>34</v>
      </c>
      <c r="C578" s="3" t="str">
        <f>VLOOKUP(B578,'Accounts chart'!$A:$B,2,FALSE)</f>
        <v>รายรับค่าส่วนกลาง</v>
      </c>
      <c r="D578" t="s">
        <v>748</v>
      </c>
      <c r="E578" t="s">
        <v>631</v>
      </c>
      <c r="F578" t="s">
        <v>304</v>
      </c>
      <c r="G578" t="str">
        <f>VLOOKUP(F578,รายชื่อลูกบ้าน!$A:$B,2,FALSE)</f>
        <v>คุณกฤษณะ ฤทธิ์โพธิ์</v>
      </c>
      <c r="H578" t="s">
        <v>385</v>
      </c>
      <c r="J578" s="23">
        <v>600</v>
      </c>
    </row>
    <row r="579" spans="1:10">
      <c r="A579" s="2">
        <v>242228</v>
      </c>
      <c r="B579" s="7" t="s">
        <v>34</v>
      </c>
      <c r="C579" s="3" t="str">
        <f>VLOOKUP(B579,'Accounts chart'!$A:$B,2,FALSE)</f>
        <v>รายรับค่าส่วนกลาง</v>
      </c>
      <c r="D579" t="s">
        <v>748</v>
      </c>
      <c r="E579" t="s">
        <v>632</v>
      </c>
      <c r="F579" t="s">
        <v>152</v>
      </c>
      <c r="G579" t="str">
        <f>VLOOKUP(F579,รายชื่อลูกบ้าน!$A:$B,2,FALSE)</f>
        <v>คุณนฤมล ศรีแก้วแดง</v>
      </c>
      <c r="H579" t="s">
        <v>664</v>
      </c>
      <c r="J579" s="23">
        <v>7000</v>
      </c>
    </row>
    <row r="580" spans="1:10">
      <c r="A580" s="2"/>
      <c r="C580" s="3"/>
    </row>
    <row r="581" spans="1:10">
      <c r="A581" s="2">
        <v>242230</v>
      </c>
      <c r="B581" s="7" t="s">
        <v>3</v>
      </c>
      <c r="C581" s="3" t="str">
        <f>VLOOKUP(B581,'Accounts chart'!$A:$B,2,FALSE)</f>
        <v>ธนาคารกสิกรไทย SA-040-1-56500-0</v>
      </c>
      <c r="D581" t="s">
        <v>749</v>
      </c>
      <c r="E581" t="s">
        <v>633</v>
      </c>
      <c r="F581" t="s">
        <v>132</v>
      </c>
      <c r="G581" t="str">
        <f>VLOOKUP(F581,รายชื่อลูกบ้าน!$A:$B,2,FALSE)</f>
        <v>คุณสมหมาย เงินสมบัติ</v>
      </c>
      <c r="H581" t="s">
        <v>385</v>
      </c>
      <c r="I581" s="23">
        <v>600</v>
      </c>
    </row>
    <row r="582" spans="1:10">
      <c r="A582" s="2">
        <v>242230</v>
      </c>
      <c r="B582" s="7" t="s">
        <v>34</v>
      </c>
      <c r="C582" s="3" t="str">
        <f>VLOOKUP(B582,'Accounts chart'!$A:$B,2,FALSE)</f>
        <v>รายรับค่าส่วนกลาง</v>
      </c>
      <c r="D582" t="s">
        <v>749</v>
      </c>
      <c r="E582" t="s">
        <v>633</v>
      </c>
      <c r="F582" t="s">
        <v>132</v>
      </c>
      <c r="G582" t="str">
        <f>VLOOKUP(F582,รายชื่อลูกบ้าน!$A:$B,2,FALSE)</f>
        <v>คุณสมหมาย เงินสมบัติ</v>
      </c>
      <c r="H582" t="s">
        <v>385</v>
      </c>
      <c r="J582" s="23">
        <v>600</v>
      </c>
    </row>
    <row r="583" spans="1:10">
      <c r="A583" s="2"/>
      <c r="C583" s="3"/>
    </row>
    <row r="584" spans="1:10">
      <c r="A584" s="2">
        <v>242241</v>
      </c>
      <c r="B584" s="7" t="s">
        <v>3</v>
      </c>
      <c r="C584" s="3" t="str">
        <f>VLOOKUP(B584,'Accounts chart'!$A:$B,2,FALSE)</f>
        <v>ธนาคารกสิกรไทย SA-040-1-56500-0</v>
      </c>
      <c r="D584" t="s">
        <v>750</v>
      </c>
      <c r="E584" t="s">
        <v>634</v>
      </c>
      <c r="F584" t="s">
        <v>362</v>
      </c>
      <c r="G584" t="str">
        <f>VLOOKUP(F584,รายชื่อลูกบ้าน!$A:$B,2,FALSE)</f>
        <v>คุณพีรภัทร์ ศัสตราพฤกษ์</v>
      </c>
      <c r="H584" t="s">
        <v>424</v>
      </c>
      <c r="I584" s="23">
        <v>600</v>
      </c>
    </row>
    <row r="585" spans="1:10">
      <c r="A585" s="2">
        <v>242241</v>
      </c>
      <c r="B585" s="7" t="s">
        <v>3</v>
      </c>
      <c r="C585" s="3" t="str">
        <f>VLOOKUP(B585,'Accounts chart'!$A:$B,2,FALSE)</f>
        <v>ธนาคารกสิกรไทย SA-040-1-56500-0</v>
      </c>
      <c r="D585" t="s">
        <v>750</v>
      </c>
      <c r="E585" t="s">
        <v>635</v>
      </c>
      <c r="F585" t="s">
        <v>300</v>
      </c>
      <c r="G585" t="str">
        <f>VLOOKUP(F585,รายชื่อลูกบ้าน!$A:$B,2,FALSE)</f>
        <v>คุณเชาว์วัศ-คุณสุวภาพ เวชทัศน์</v>
      </c>
      <c r="H585" t="s">
        <v>385</v>
      </c>
      <c r="I585" s="23">
        <v>600</v>
      </c>
    </row>
    <row r="586" spans="1:10">
      <c r="A586" s="2">
        <v>242241</v>
      </c>
      <c r="B586" s="7" t="s">
        <v>34</v>
      </c>
      <c r="C586" s="3" t="str">
        <f>VLOOKUP(B586,'Accounts chart'!$A:$B,2,FALSE)</f>
        <v>รายรับค่าส่วนกลาง</v>
      </c>
      <c r="D586" t="s">
        <v>750</v>
      </c>
      <c r="E586" t="s">
        <v>634</v>
      </c>
      <c r="F586" t="s">
        <v>362</v>
      </c>
      <c r="G586" t="str">
        <f>VLOOKUP(F586,รายชื่อลูกบ้าน!$A:$B,2,FALSE)</f>
        <v>คุณพีรภัทร์ ศัสตราพฤกษ์</v>
      </c>
      <c r="H586" t="s">
        <v>424</v>
      </c>
      <c r="J586" s="23">
        <v>600</v>
      </c>
    </row>
    <row r="587" spans="1:10">
      <c r="A587" s="2">
        <v>242241</v>
      </c>
      <c r="B587" s="7" t="s">
        <v>34</v>
      </c>
      <c r="C587" s="3" t="str">
        <f>VLOOKUP(B587,'Accounts chart'!$A:$B,2,FALSE)</f>
        <v>รายรับค่าส่วนกลาง</v>
      </c>
      <c r="D587" t="s">
        <v>750</v>
      </c>
      <c r="E587" t="s">
        <v>635</v>
      </c>
      <c r="F587" t="s">
        <v>300</v>
      </c>
      <c r="G587" t="str">
        <f>VLOOKUP(F587,รายชื่อลูกบ้าน!$A:$B,2,FALSE)</f>
        <v>คุณเชาว์วัศ-คุณสุวภาพ เวชทัศน์</v>
      </c>
      <c r="H587" t="s">
        <v>385</v>
      </c>
      <c r="J587" s="23">
        <v>600</v>
      </c>
    </row>
    <row r="588" spans="1:10">
      <c r="A588" s="2"/>
      <c r="C588" s="3"/>
    </row>
    <row r="589" spans="1:10">
      <c r="A589" s="2">
        <v>242242</v>
      </c>
      <c r="B589" s="7" t="s">
        <v>3</v>
      </c>
      <c r="C589" s="3" t="str">
        <f>VLOOKUP(B589,'Accounts chart'!$A:$B,2,FALSE)</f>
        <v>ธนาคารกสิกรไทย SA-040-1-56500-0</v>
      </c>
      <c r="D589" t="s">
        <v>751</v>
      </c>
      <c r="E589" t="s">
        <v>636</v>
      </c>
      <c r="F589" t="s">
        <v>241</v>
      </c>
      <c r="G589" t="str">
        <f>VLOOKUP(F589,รายชื่อลูกบ้าน!$A:$B,2,FALSE)</f>
        <v>คุณสุกิจ หมื่นยศ</v>
      </c>
      <c r="H589" t="s">
        <v>424</v>
      </c>
      <c r="I589" s="23">
        <v>600</v>
      </c>
    </row>
    <row r="590" spans="1:10">
      <c r="A590" s="2">
        <v>242242</v>
      </c>
      <c r="B590" s="7" t="s">
        <v>34</v>
      </c>
      <c r="C590" s="3" t="str">
        <f>VLOOKUP(B590,'Accounts chart'!$A:$B,2,FALSE)</f>
        <v>รายรับค่าส่วนกลาง</v>
      </c>
      <c r="D590" t="s">
        <v>751</v>
      </c>
      <c r="E590" t="s">
        <v>636</v>
      </c>
      <c r="F590" t="s">
        <v>241</v>
      </c>
      <c r="G590" t="str">
        <f>VLOOKUP(F590,รายชื่อลูกบ้าน!$A:$B,2,FALSE)</f>
        <v>คุณสุกิจ หมื่นยศ</v>
      </c>
      <c r="H590" t="s">
        <v>424</v>
      </c>
      <c r="J590" s="23">
        <v>600</v>
      </c>
    </row>
    <row r="591" spans="1:10">
      <c r="A591" s="2"/>
      <c r="C591" s="3"/>
    </row>
    <row r="592" spans="1:10">
      <c r="A592" s="2">
        <v>242243</v>
      </c>
      <c r="B592" s="7" t="s">
        <v>3</v>
      </c>
      <c r="C592" s="3" t="str">
        <f>VLOOKUP(B592,'Accounts chart'!$A:$B,2,FALSE)</f>
        <v>ธนาคารกสิกรไทย SA-040-1-56500-0</v>
      </c>
      <c r="D592" t="s">
        <v>752</v>
      </c>
      <c r="E592" t="s">
        <v>637</v>
      </c>
      <c r="F592" t="s">
        <v>285</v>
      </c>
      <c r="G592" t="str">
        <f>VLOOKUP(F592,รายชื่อลูกบ้าน!$A:$B,2,FALSE)</f>
        <v>คุณประจักษ์ เนื่องละออ-คุณวนิดา เส็งนิสัย</v>
      </c>
      <c r="H592" t="s">
        <v>385</v>
      </c>
      <c r="I592" s="23">
        <v>601.12</v>
      </c>
    </row>
    <row r="593" spans="1:10">
      <c r="A593" s="2">
        <v>242243</v>
      </c>
      <c r="B593" s="7" t="s">
        <v>3</v>
      </c>
      <c r="C593" s="3" t="str">
        <f>VLOOKUP(B593,'Accounts chart'!$A:$B,2,FALSE)</f>
        <v>ธนาคารกสิกรไทย SA-040-1-56500-0</v>
      </c>
      <c r="D593" t="s">
        <v>752</v>
      </c>
      <c r="E593" t="s">
        <v>638</v>
      </c>
      <c r="F593" t="s">
        <v>267</v>
      </c>
      <c r="G593" t="str">
        <f>VLOOKUP(F593,รายชื่อลูกบ้าน!$A:$B,2,FALSE)</f>
        <v>คุณดนัย ฮาวต่อมแก้ว</v>
      </c>
      <c r="H593" t="s">
        <v>424</v>
      </c>
      <c r="I593" s="23">
        <v>600</v>
      </c>
    </row>
    <row r="594" spans="1:10">
      <c r="A594" s="2">
        <v>242243</v>
      </c>
      <c r="B594" s="7" t="s">
        <v>3</v>
      </c>
      <c r="C594" s="3" t="str">
        <f>VLOOKUP(B594,'Accounts chart'!$A:$B,2,FALSE)</f>
        <v>ธนาคารกสิกรไทย SA-040-1-56500-0</v>
      </c>
      <c r="D594" t="s">
        <v>752</v>
      </c>
      <c r="E594" t="s">
        <v>639</v>
      </c>
      <c r="F594" t="s">
        <v>263</v>
      </c>
      <c r="G594" t="str">
        <f>VLOOKUP(F594,รายชื่อลูกบ้าน!$A:$B,2,FALSE)</f>
        <v>คุณธัญพร โชคศิริภาวรตาซเซ</v>
      </c>
      <c r="H594" t="s">
        <v>661</v>
      </c>
      <c r="I594" s="23">
        <v>1200</v>
      </c>
    </row>
    <row r="595" spans="1:10">
      <c r="A595" s="2">
        <v>242243</v>
      </c>
      <c r="B595" s="7" t="s">
        <v>34</v>
      </c>
      <c r="C595" s="3" t="str">
        <f>VLOOKUP(B595,'Accounts chart'!$A:$B,2,FALSE)</f>
        <v>รายรับค่าส่วนกลาง</v>
      </c>
      <c r="D595" t="s">
        <v>752</v>
      </c>
      <c r="E595" t="s">
        <v>637</v>
      </c>
      <c r="F595" t="s">
        <v>285</v>
      </c>
      <c r="G595" t="str">
        <f>VLOOKUP(F595,รายชื่อลูกบ้าน!$A:$B,2,FALSE)</f>
        <v>คุณประจักษ์ เนื่องละออ-คุณวนิดา เส็งนิสัย</v>
      </c>
      <c r="H595" t="s">
        <v>385</v>
      </c>
      <c r="J595" s="23">
        <v>601.12</v>
      </c>
    </row>
    <row r="596" spans="1:10">
      <c r="A596" s="2">
        <v>242243</v>
      </c>
      <c r="B596" s="7" t="s">
        <v>34</v>
      </c>
      <c r="C596" s="3" t="str">
        <f>VLOOKUP(B596,'Accounts chart'!$A:$B,2,FALSE)</f>
        <v>รายรับค่าส่วนกลาง</v>
      </c>
      <c r="D596" t="s">
        <v>752</v>
      </c>
      <c r="E596" t="s">
        <v>638</v>
      </c>
      <c r="F596" t="s">
        <v>267</v>
      </c>
      <c r="G596" t="str">
        <f>VLOOKUP(F596,รายชื่อลูกบ้าน!$A:$B,2,FALSE)</f>
        <v>คุณดนัย ฮาวต่อมแก้ว</v>
      </c>
      <c r="H596" t="s">
        <v>424</v>
      </c>
      <c r="J596" s="23">
        <v>600</v>
      </c>
    </row>
    <row r="597" spans="1:10">
      <c r="A597" s="2">
        <v>242243</v>
      </c>
      <c r="B597" s="7" t="s">
        <v>34</v>
      </c>
      <c r="C597" s="3" t="str">
        <f>VLOOKUP(B597,'Accounts chart'!$A:$B,2,FALSE)</f>
        <v>รายรับค่าส่วนกลาง</v>
      </c>
      <c r="D597" t="s">
        <v>752</v>
      </c>
      <c r="E597" t="s">
        <v>639</v>
      </c>
      <c r="F597" t="s">
        <v>263</v>
      </c>
      <c r="G597" t="str">
        <f>VLOOKUP(F597,รายชื่อลูกบ้าน!$A:$B,2,FALSE)</f>
        <v>คุณธัญพร โชคศิริภาวรตาซเซ</v>
      </c>
      <c r="H597" t="s">
        <v>661</v>
      </c>
      <c r="J597" s="23">
        <v>1200</v>
      </c>
    </row>
    <row r="598" spans="1:10">
      <c r="A598" s="2"/>
      <c r="C598" s="3"/>
    </row>
    <row r="599" spans="1:10">
      <c r="A599" s="2">
        <v>242244</v>
      </c>
      <c r="B599" s="7" t="s">
        <v>3</v>
      </c>
      <c r="C599" s="3" t="str">
        <f>VLOOKUP(B599,'Accounts chart'!$A:$B,2,FALSE)</f>
        <v>ธนาคารกสิกรไทย SA-040-1-56500-0</v>
      </c>
      <c r="D599" t="s">
        <v>753</v>
      </c>
      <c r="E599" t="s">
        <v>640</v>
      </c>
      <c r="F599" t="s">
        <v>319</v>
      </c>
      <c r="G599" t="str">
        <f>VLOOKUP(F599,รายชื่อลูกบ้าน!$A:$B,2,FALSE)</f>
        <v>คุณณัฐพงศ์ สุวรรณมณี</v>
      </c>
      <c r="H599" t="s">
        <v>424</v>
      </c>
      <c r="I599" s="23">
        <v>600</v>
      </c>
    </row>
    <row r="600" spans="1:10">
      <c r="A600" s="2">
        <v>242244</v>
      </c>
      <c r="B600" s="7" t="s">
        <v>3</v>
      </c>
      <c r="C600" s="3" t="str">
        <f>VLOOKUP(B600,'Accounts chart'!$A:$B,2,FALSE)</f>
        <v>ธนาคารกสิกรไทย SA-040-1-56500-0</v>
      </c>
      <c r="D600" t="s">
        <v>753</v>
      </c>
      <c r="E600" t="s">
        <v>641</v>
      </c>
      <c r="F600" t="s">
        <v>187</v>
      </c>
      <c r="G600" t="str">
        <f>VLOOKUP(F600,รายชื่อลูกบ้าน!$A:$B,2,FALSE)</f>
        <v>นายญัชพล ภู่ถาวร</v>
      </c>
      <c r="H600" t="s">
        <v>665</v>
      </c>
      <c r="I600" s="23">
        <v>600</v>
      </c>
    </row>
    <row r="601" spans="1:10">
      <c r="A601" s="2">
        <v>242244</v>
      </c>
      <c r="B601" s="7" t="s">
        <v>3</v>
      </c>
      <c r="C601" s="3" t="str">
        <f>VLOOKUP(B601,'Accounts chart'!$A:$B,2,FALSE)</f>
        <v>ธนาคารกสิกรไทย SA-040-1-56500-0</v>
      </c>
      <c r="D601" t="s">
        <v>753</v>
      </c>
      <c r="E601" t="s">
        <v>642</v>
      </c>
      <c r="F601" t="s">
        <v>251</v>
      </c>
      <c r="G601" t="str">
        <f>VLOOKUP(F601,รายชื่อลูกบ้าน!$A:$B,2,FALSE)</f>
        <v>คุณวิบูลย์ ฤทธิ์ทองพิทักษ์</v>
      </c>
      <c r="H601" t="s">
        <v>424</v>
      </c>
      <c r="I601" s="23">
        <v>600</v>
      </c>
    </row>
    <row r="602" spans="1:10">
      <c r="A602" s="2">
        <v>242244</v>
      </c>
      <c r="B602" s="7" t="s">
        <v>3</v>
      </c>
      <c r="C602" s="3" t="str">
        <f>VLOOKUP(B602,'Accounts chart'!$A:$B,2,FALSE)</f>
        <v>ธนาคารกสิกรไทย SA-040-1-56500-0</v>
      </c>
      <c r="D602" t="s">
        <v>753</v>
      </c>
      <c r="E602" t="s">
        <v>643</v>
      </c>
      <c r="F602" t="s">
        <v>227</v>
      </c>
      <c r="G602" t="str">
        <f>VLOOKUP(F602,รายชื่อลูกบ้าน!$A:$B,2,FALSE)</f>
        <v>คุณเกียรติชัย การรุ่งเรือง-คุณศศิธร เศียรศิริบัณฑิต</v>
      </c>
      <c r="H602" t="s">
        <v>424</v>
      </c>
      <c r="I602" s="23">
        <v>600</v>
      </c>
    </row>
    <row r="603" spans="1:10">
      <c r="A603" s="2">
        <v>242244</v>
      </c>
      <c r="B603" s="7" t="s">
        <v>34</v>
      </c>
      <c r="C603" s="3" t="str">
        <f>VLOOKUP(B603,'Accounts chart'!$A:$B,2,FALSE)</f>
        <v>รายรับค่าส่วนกลาง</v>
      </c>
      <c r="D603" t="s">
        <v>753</v>
      </c>
      <c r="E603" t="s">
        <v>640</v>
      </c>
      <c r="F603" t="s">
        <v>319</v>
      </c>
      <c r="G603" t="str">
        <f>VLOOKUP(F603,รายชื่อลูกบ้าน!$A:$B,2,FALSE)</f>
        <v>คุณณัฐพงศ์ สุวรรณมณี</v>
      </c>
      <c r="H603" t="s">
        <v>424</v>
      </c>
      <c r="J603" s="23">
        <v>600</v>
      </c>
    </row>
    <row r="604" spans="1:10">
      <c r="A604" s="2">
        <v>242244</v>
      </c>
      <c r="B604" s="7" t="s">
        <v>34</v>
      </c>
      <c r="C604" s="3" t="str">
        <f>VLOOKUP(B604,'Accounts chart'!$A:$B,2,FALSE)</f>
        <v>รายรับค่าส่วนกลาง</v>
      </c>
      <c r="D604" t="s">
        <v>753</v>
      </c>
      <c r="E604" t="s">
        <v>641</v>
      </c>
      <c r="F604" t="s">
        <v>187</v>
      </c>
      <c r="G604" t="str">
        <f>VLOOKUP(F604,รายชื่อลูกบ้าน!$A:$B,2,FALSE)</f>
        <v>นายญัชพล ภู่ถาวร</v>
      </c>
      <c r="H604" t="s">
        <v>665</v>
      </c>
      <c r="J604" s="23">
        <v>600</v>
      </c>
    </row>
    <row r="605" spans="1:10">
      <c r="A605" s="2">
        <v>242244</v>
      </c>
      <c r="B605" s="7" t="s">
        <v>34</v>
      </c>
      <c r="C605" s="3" t="str">
        <f>VLOOKUP(B605,'Accounts chart'!$A:$B,2,FALSE)</f>
        <v>รายรับค่าส่วนกลาง</v>
      </c>
      <c r="D605" t="s">
        <v>753</v>
      </c>
      <c r="E605" t="s">
        <v>642</v>
      </c>
      <c r="F605" t="s">
        <v>251</v>
      </c>
      <c r="G605" t="str">
        <f>VLOOKUP(F605,รายชื่อลูกบ้าน!$A:$B,2,FALSE)</f>
        <v>คุณวิบูลย์ ฤทธิ์ทองพิทักษ์</v>
      </c>
      <c r="H605" t="s">
        <v>424</v>
      </c>
      <c r="J605" s="23">
        <v>600</v>
      </c>
    </row>
    <row r="606" spans="1:10">
      <c r="A606" s="2">
        <v>242244</v>
      </c>
      <c r="B606" s="7" t="s">
        <v>34</v>
      </c>
      <c r="C606" s="3" t="str">
        <f>VLOOKUP(B606,'Accounts chart'!$A:$B,2,FALSE)</f>
        <v>รายรับค่าส่วนกลาง</v>
      </c>
      <c r="D606" t="s">
        <v>753</v>
      </c>
      <c r="E606" t="s">
        <v>643</v>
      </c>
      <c r="F606" t="s">
        <v>227</v>
      </c>
      <c r="G606" t="str">
        <f>VLOOKUP(F606,รายชื่อลูกบ้าน!$A:$B,2,FALSE)</f>
        <v>คุณเกียรติชัย การรุ่งเรือง-คุณศศิธร เศียรศิริบัณฑิต</v>
      </c>
      <c r="H606" t="s">
        <v>424</v>
      </c>
      <c r="J606" s="23">
        <v>600</v>
      </c>
    </row>
    <row r="607" spans="1:10">
      <c r="A607" s="2"/>
      <c r="C607" s="3"/>
    </row>
    <row r="608" spans="1:10">
      <c r="A608" s="2">
        <v>242246</v>
      </c>
      <c r="B608" s="7" t="s">
        <v>3</v>
      </c>
      <c r="C608" s="3" t="str">
        <f>VLOOKUP(B608,'Accounts chart'!$A:$B,2,FALSE)</f>
        <v>ธนาคารกสิกรไทย SA-040-1-56500-0</v>
      </c>
      <c r="D608" t="s">
        <v>754</v>
      </c>
      <c r="E608" t="s">
        <v>644</v>
      </c>
      <c r="F608" t="s">
        <v>182</v>
      </c>
      <c r="G608" t="str">
        <f>VLOOKUP(F608,รายชื่อลูกบ้าน!$A:$B,2,FALSE)</f>
        <v>คุณสิระพัชร์ หน่อแก้ว</v>
      </c>
      <c r="H608" t="s">
        <v>424</v>
      </c>
      <c r="I608" s="23">
        <v>600.53</v>
      </c>
    </row>
    <row r="609" spans="1:10">
      <c r="A609" s="2">
        <v>242246</v>
      </c>
      <c r="B609" s="7" t="s">
        <v>3</v>
      </c>
      <c r="C609" s="3" t="str">
        <f>VLOOKUP(B609,'Accounts chart'!$A:$B,2,FALSE)</f>
        <v>ธนาคารกสิกรไทย SA-040-1-56500-0</v>
      </c>
      <c r="D609" t="s">
        <v>754</v>
      </c>
      <c r="E609" t="s">
        <v>645</v>
      </c>
      <c r="F609" t="s">
        <v>295</v>
      </c>
      <c r="G609" t="str">
        <f>VLOOKUP(F609,รายชื่อลูกบ้าน!$A:$B,2,FALSE)</f>
        <v>คุณภานุรังสิทธิ์-คุณภญาดา หมื่นจันทร์</v>
      </c>
      <c r="H609" t="s">
        <v>665</v>
      </c>
      <c r="I609" s="23">
        <v>600</v>
      </c>
    </row>
    <row r="610" spans="1:10">
      <c r="A610" s="2">
        <v>242246</v>
      </c>
      <c r="B610" s="7" t="s">
        <v>3</v>
      </c>
      <c r="C610" s="3" t="str">
        <f>VLOOKUP(B610,'Accounts chart'!$A:$B,2,FALSE)</f>
        <v>ธนาคารกสิกรไทย SA-040-1-56500-0</v>
      </c>
      <c r="D610" t="s">
        <v>754</v>
      </c>
      <c r="E610" t="s">
        <v>646</v>
      </c>
      <c r="F610" t="s">
        <v>173</v>
      </c>
      <c r="G610" t="str">
        <f>VLOOKUP(F610,รายชื่อลูกบ้าน!$A:$B,2,FALSE)</f>
        <v>คุณพิริยะ ทรัพย์เจริญ-คุณเยาวเรศ โกสุมพิทักษ์</v>
      </c>
      <c r="H610" t="s">
        <v>424</v>
      </c>
      <c r="I610" s="23">
        <v>600</v>
      </c>
    </row>
    <row r="611" spans="1:10">
      <c r="A611" s="2">
        <v>242246</v>
      </c>
      <c r="B611" s="7" t="s">
        <v>3</v>
      </c>
      <c r="C611" s="3" t="str">
        <f>VLOOKUP(B611,'Accounts chart'!$A:$B,2,FALSE)</f>
        <v>ธนาคารกสิกรไทย SA-040-1-56500-0</v>
      </c>
      <c r="D611" t="s">
        <v>754</v>
      </c>
      <c r="E611" t="s">
        <v>647</v>
      </c>
      <c r="F611" t="s">
        <v>185</v>
      </c>
      <c r="G611" t="str">
        <f>VLOOKUP(F611,รายชื่อลูกบ้าน!$A:$B,2,FALSE)</f>
        <v>คุณชาญชัย ตนะศุภผล</v>
      </c>
      <c r="H611" t="s">
        <v>665</v>
      </c>
      <c r="I611" s="23">
        <v>600.54999999999995</v>
      </c>
    </row>
    <row r="612" spans="1:10">
      <c r="A612" s="2">
        <v>242246</v>
      </c>
      <c r="B612" s="7" t="s">
        <v>3</v>
      </c>
      <c r="C612" s="3" t="str">
        <f>VLOOKUP(B612,'Accounts chart'!$A:$B,2,FALSE)</f>
        <v>ธนาคารกสิกรไทย SA-040-1-56500-0</v>
      </c>
      <c r="D612" t="s">
        <v>754</v>
      </c>
      <c r="E612" t="s">
        <v>648</v>
      </c>
      <c r="F612" t="s">
        <v>348</v>
      </c>
      <c r="G612" t="str">
        <f>VLOOKUP(F612,รายชื่อลูกบ้าน!$A:$B,2,FALSE)</f>
        <v>คุณศักดิชัย ไชยเผือก</v>
      </c>
      <c r="H612" t="s">
        <v>401</v>
      </c>
      <c r="I612" s="23">
        <v>1800</v>
      </c>
    </row>
    <row r="613" spans="1:10">
      <c r="A613" s="2">
        <v>242246</v>
      </c>
      <c r="B613" s="7" t="s">
        <v>3</v>
      </c>
      <c r="C613" s="3" t="str">
        <f>VLOOKUP(B613,'Accounts chart'!$A:$B,2,FALSE)</f>
        <v>ธนาคารกสิกรไทย SA-040-1-56500-0</v>
      </c>
      <c r="D613" t="s">
        <v>754</v>
      </c>
      <c r="E613" t="s">
        <v>649</v>
      </c>
      <c r="F613" t="s">
        <v>201</v>
      </c>
      <c r="G613" t="str">
        <f>VLOOKUP(F613,รายชื่อลูกบ้าน!$A:$B,2,FALSE)</f>
        <v>คุณณัฐธีร์ เลิศรัตน์วัฒนา</v>
      </c>
      <c r="H613" t="s">
        <v>424</v>
      </c>
      <c r="I613" s="23">
        <v>600</v>
      </c>
    </row>
    <row r="614" spans="1:10">
      <c r="A614" s="2">
        <v>242246</v>
      </c>
      <c r="B614" s="7" t="s">
        <v>34</v>
      </c>
      <c r="C614" s="3" t="str">
        <f>VLOOKUP(B614,'Accounts chart'!$A:$B,2,FALSE)</f>
        <v>รายรับค่าส่วนกลาง</v>
      </c>
      <c r="D614" t="s">
        <v>754</v>
      </c>
      <c r="E614" t="s">
        <v>644</v>
      </c>
      <c r="F614" t="s">
        <v>182</v>
      </c>
      <c r="G614" t="str">
        <f>VLOOKUP(F614,รายชื่อลูกบ้าน!$A:$B,2,FALSE)</f>
        <v>คุณสิระพัชร์ หน่อแก้ว</v>
      </c>
      <c r="H614" t="s">
        <v>424</v>
      </c>
      <c r="J614" s="23">
        <v>600.53</v>
      </c>
    </row>
    <row r="615" spans="1:10">
      <c r="A615" s="2">
        <v>242246</v>
      </c>
      <c r="B615" s="7" t="s">
        <v>34</v>
      </c>
      <c r="C615" s="3" t="str">
        <f>VLOOKUP(B615,'Accounts chart'!$A:$B,2,FALSE)</f>
        <v>รายรับค่าส่วนกลาง</v>
      </c>
      <c r="D615" t="s">
        <v>754</v>
      </c>
      <c r="E615" t="s">
        <v>645</v>
      </c>
      <c r="F615" t="s">
        <v>295</v>
      </c>
      <c r="G615" t="str">
        <f>VLOOKUP(F615,รายชื่อลูกบ้าน!$A:$B,2,FALSE)</f>
        <v>คุณภานุรังสิทธิ์-คุณภญาดา หมื่นจันทร์</v>
      </c>
      <c r="H615" t="s">
        <v>665</v>
      </c>
      <c r="J615" s="23">
        <v>600</v>
      </c>
    </row>
    <row r="616" spans="1:10">
      <c r="A616" s="2">
        <v>242246</v>
      </c>
      <c r="B616" s="7" t="s">
        <v>34</v>
      </c>
      <c r="C616" s="3" t="str">
        <f>VLOOKUP(B616,'Accounts chart'!$A:$B,2,FALSE)</f>
        <v>รายรับค่าส่วนกลาง</v>
      </c>
      <c r="D616" t="s">
        <v>754</v>
      </c>
      <c r="E616" t="s">
        <v>646</v>
      </c>
      <c r="F616" t="s">
        <v>173</v>
      </c>
      <c r="G616" t="str">
        <f>VLOOKUP(F616,รายชื่อลูกบ้าน!$A:$B,2,FALSE)</f>
        <v>คุณพิริยะ ทรัพย์เจริญ-คุณเยาวเรศ โกสุมพิทักษ์</v>
      </c>
      <c r="H616" t="s">
        <v>424</v>
      </c>
      <c r="J616" s="23">
        <v>600</v>
      </c>
    </row>
    <row r="617" spans="1:10">
      <c r="A617" s="2">
        <v>242246</v>
      </c>
      <c r="B617" s="7" t="s">
        <v>34</v>
      </c>
      <c r="C617" s="3" t="str">
        <f>VLOOKUP(B617,'Accounts chart'!$A:$B,2,FALSE)</f>
        <v>รายรับค่าส่วนกลาง</v>
      </c>
      <c r="D617" t="s">
        <v>754</v>
      </c>
      <c r="E617" t="s">
        <v>647</v>
      </c>
      <c r="F617" t="s">
        <v>185</v>
      </c>
      <c r="G617" t="str">
        <f>VLOOKUP(F617,รายชื่อลูกบ้าน!$A:$B,2,FALSE)</f>
        <v>คุณชาญชัย ตนะศุภผล</v>
      </c>
      <c r="H617" t="s">
        <v>665</v>
      </c>
      <c r="J617" s="23">
        <v>600.54999999999995</v>
      </c>
    </row>
    <row r="618" spans="1:10">
      <c r="A618" s="2">
        <v>242246</v>
      </c>
      <c r="B618" s="7" t="s">
        <v>34</v>
      </c>
      <c r="C618" s="3" t="str">
        <f>VLOOKUP(B618,'Accounts chart'!$A:$B,2,FALSE)</f>
        <v>รายรับค่าส่วนกลาง</v>
      </c>
      <c r="D618" t="s">
        <v>754</v>
      </c>
      <c r="E618" t="s">
        <v>648</v>
      </c>
      <c r="F618" t="s">
        <v>348</v>
      </c>
      <c r="G618" t="str">
        <f>VLOOKUP(F618,รายชื่อลูกบ้าน!$A:$B,2,FALSE)</f>
        <v>คุณศักดิชัย ไชยเผือก</v>
      </c>
      <c r="H618" t="s">
        <v>401</v>
      </c>
      <c r="J618" s="23">
        <v>1800</v>
      </c>
    </row>
    <row r="619" spans="1:10">
      <c r="A619" s="2">
        <v>242246</v>
      </c>
      <c r="B619" s="7" t="s">
        <v>34</v>
      </c>
      <c r="C619" s="3" t="str">
        <f>VLOOKUP(B619,'Accounts chart'!$A:$B,2,FALSE)</f>
        <v>รายรับค่าส่วนกลาง</v>
      </c>
      <c r="D619" t="s">
        <v>754</v>
      </c>
      <c r="E619" t="s">
        <v>649</v>
      </c>
      <c r="F619" t="s">
        <v>201</v>
      </c>
      <c r="G619" t="str">
        <f>VLOOKUP(F619,รายชื่อลูกบ้าน!$A:$B,2,FALSE)</f>
        <v>คุณณัฐธีร์ เลิศรัตน์วัฒนา</v>
      </c>
      <c r="H619" t="s">
        <v>424</v>
      </c>
      <c r="J619" s="23">
        <v>600</v>
      </c>
    </row>
    <row r="620" spans="1:10">
      <c r="A620" s="2"/>
      <c r="C620" s="3"/>
    </row>
    <row r="621" spans="1:10">
      <c r="A621" s="2">
        <v>242247</v>
      </c>
      <c r="B621" s="7" t="s">
        <v>3</v>
      </c>
      <c r="C621" s="3" t="str">
        <f>VLOOKUP(B621,'Accounts chart'!$A:$B,2,FALSE)</f>
        <v>ธนาคารกสิกรไทย SA-040-1-56500-0</v>
      </c>
      <c r="D621" t="s">
        <v>755</v>
      </c>
      <c r="E621" t="s">
        <v>650</v>
      </c>
      <c r="F621" t="s">
        <v>323</v>
      </c>
      <c r="G621" t="str">
        <f>VLOOKUP(F621,รายชื่อลูกบ้าน!$A:$B,2,FALSE)</f>
        <v>คุณเกียงไกร ไชยเดช</v>
      </c>
      <c r="H621" t="s">
        <v>424</v>
      </c>
      <c r="I621" s="23">
        <v>600</v>
      </c>
    </row>
    <row r="622" spans="1:10">
      <c r="A622" s="2">
        <v>242247</v>
      </c>
      <c r="B622" s="7" t="s">
        <v>3</v>
      </c>
      <c r="C622" s="3" t="str">
        <f>VLOOKUP(B622,'Accounts chart'!$A:$B,2,FALSE)</f>
        <v>ธนาคารกสิกรไทย SA-040-1-56500-0</v>
      </c>
      <c r="D622" t="s">
        <v>755</v>
      </c>
      <c r="E622" t="s">
        <v>651</v>
      </c>
      <c r="F622" t="s">
        <v>72</v>
      </c>
      <c r="G622" t="str">
        <f>VLOOKUP(F622,รายชื่อลูกบ้าน!$A:$B,2,FALSE)</f>
        <v>คุณวรวุฒิ นาทอง</v>
      </c>
      <c r="H622" t="s">
        <v>424</v>
      </c>
      <c r="I622" s="23">
        <v>600</v>
      </c>
    </row>
    <row r="623" spans="1:10">
      <c r="A623" s="2">
        <v>242247</v>
      </c>
      <c r="B623" s="7" t="s">
        <v>3</v>
      </c>
      <c r="C623" s="3" t="str">
        <f>VLOOKUP(B623,'Accounts chart'!$A:$B,2,FALSE)</f>
        <v>ธนาคารกสิกรไทย SA-040-1-56500-0</v>
      </c>
      <c r="D623" t="s">
        <v>755</v>
      </c>
      <c r="E623" t="s">
        <v>652</v>
      </c>
      <c r="F623" t="s">
        <v>195</v>
      </c>
      <c r="G623" t="str">
        <f>VLOOKUP(F623,รายชื่อลูกบ้าน!$A:$B,2,FALSE)</f>
        <v>คุณชานนท์ นนทรังษี</v>
      </c>
      <c r="H623" t="s">
        <v>424</v>
      </c>
      <c r="I623" s="23">
        <v>600</v>
      </c>
    </row>
    <row r="624" spans="1:10">
      <c r="A624" s="2">
        <v>242247</v>
      </c>
      <c r="B624" s="7" t="s">
        <v>3</v>
      </c>
      <c r="C624" s="3" t="str">
        <f>VLOOKUP(B624,'Accounts chart'!$A:$B,2,FALSE)</f>
        <v>ธนาคารกสิกรไทย SA-040-1-56500-0</v>
      </c>
      <c r="D624" t="s">
        <v>755</v>
      </c>
      <c r="E624" t="s">
        <v>653</v>
      </c>
      <c r="F624" t="s">
        <v>163</v>
      </c>
      <c r="G624" t="str">
        <f>VLOOKUP(F624,รายชื่อลูกบ้าน!$A:$B,2,FALSE)</f>
        <v>คุณสุภาภรณ์ ใจตั้ง</v>
      </c>
      <c r="H624" t="s">
        <v>665</v>
      </c>
      <c r="I624" s="23">
        <v>600</v>
      </c>
    </row>
    <row r="625" spans="1:10">
      <c r="A625" s="2">
        <v>242247</v>
      </c>
      <c r="B625" s="7" t="s">
        <v>3</v>
      </c>
      <c r="C625" s="3" t="str">
        <f>VLOOKUP(B625,'Accounts chart'!$A:$B,2,FALSE)</f>
        <v>ธนาคารกสิกรไทย SA-040-1-56500-0</v>
      </c>
      <c r="D625" t="s">
        <v>755</v>
      </c>
      <c r="E625" t="s">
        <v>654</v>
      </c>
      <c r="F625" t="s">
        <v>364</v>
      </c>
      <c r="G625" t="str">
        <f>VLOOKUP(F625,รายชื่อลูกบ้าน!$A:$B,2,FALSE)</f>
        <v>คุณกิตติ แสวงภาค</v>
      </c>
      <c r="H625" t="s">
        <v>665</v>
      </c>
      <c r="I625" s="23">
        <v>600</v>
      </c>
    </row>
    <row r="626" spans="1:10">
      <c r="A626" s="2">
        <v>242247</v>
      </c>
      <c r="B626" s="7" t="s">
        <v>3</v>
      </c>
      <c r="C626" s="3" t="str">
        <f>VLOOKUP(B626,'Accounts chart'!$A:$B,2,FALSE)</f>
        <v>ธนาคารกสิกรไทย SA-040-1-56500-0</v>
      </c>
      <c r="D626" t="s">
        <v>755</v>
      </c>
      <c r="E626" t="s">
        <v>655</v>
      </c>
      <c r="F626" t="s">
        <v>69</v>
      </c>
      <c r="G626" t="str">
        <f>VLOOKUP(F626,รายชื่อลูกบ้าน!$A:$B,2,FALSE)</f>
        <v>คุณโกวิท-คุณศันสนีย์ รัตนมณี</v>
      </c>
      <c r="H626" t="s">
        <v>424</v>
      </c>
      <c r="I626" s="23">
        <v>600</v>
      </c>
    </row>
    <row r="627" spans="1:10">
      <c r="A627" s="2">
        <v>242247</v>
      </c>
      <c r="B627" s="7" t="s">
        <v>34</v>
      </c>
      <c r="C627" s="3" t="str">
        <f>VLOOKUP(B627,'Accounts chart'!$A:$B,2,FALSE)</f>
        <v>รายรับค่าส่วนกลาง</v>
      </c>
      <c r="D627" t="s">
        <v>755</v>
      </c>
      <c r="E627" t="s">
        <v>650</v>
      </c>
      <c r="F627" t="s">
        <v>323</v>
      </c>
      <c r="G627" t="str">
        <f>VLOOKUP(F627,รายชื่อลูกบ้าน!$A:$B,2,FALSE)</f>
        <v>คุณเกียงไกร ไชยเดช</v>
      </c>
      <c r="H627" t="s">
        <v>424</v>
      </c>
      <c r="J627" s="23">
        <v>600</v>
      </c>
    </row>
    <row r="628" spans="1:10">
      <c r="A628" s="2">
        <v>242247</v>
      </c>
      <c r="B628" s="7" t="s">
        <v>34</v>
      </c>
      <c r="C628" s="3" t="str">
        <f>VLOOKUP(B628,'Accounts chart'!$A:$B,2,FALSE)</f>
        <v>รายรับค่าส่วนกลาง</v>
      </c>
      <c r="D628" t="s">
        <v>755</v>
      </c>
      <c r="E628" t="s">
        <v>651</v>
      </c>
      <c r="F628" t="s">
        <v>72</v>
      </c>
      <c r="G628" t="str">
        <f>VLOOKUP(F628,รายชื่อลูกบ้าน!$A:$B,2,FALSE)</f>
        <v>คุณวรวุฒิ นาทอง</v>
      </c>
      <c r="H628" t="s">
        <v>424</v>
      </c>
      <c r="J628" s="23">
        <v>600</v>
      </c>
    </row>
    <row r="629" spans="1:10">
      <c r="A629" s="2">
        <v>242247</v>
      </c>
      <c r="B629" s="7" t="s">
        <v>34</v>
      </c>
      <c r="C629" s="3" t="str">
        <f>VLOOKUP(B629,'Accounts chart'!$A:$B,2,FALSE)</f>
        <v>รายรับค่าส่วนกลาง</v>
      </c>
      <c r="D629" t="s">
        <v>755</v>
      </c>
      <c r="E629" t="s">
        <v>652</v>
      </c>
      <c r="F629" t="s">
        <v>195</v>
      </c>
      <c r="G629" t="str">
        <f>VLOOKUP(F629,รายชื่อลูกบ้าน!$A:$B,2,FALSE)</f>
        <v>คุณชานนท์ นนทรังษี</v>
      </c>
      <c r="H629" t="s">
        <v>424</v>
      </c>
      <c r="J629" s="23">
        <v>600</v>
      </c>
    </row>
    <row r="630" spans="1:10">
      <c r="A630" s="2">
        <v>242247</v>
      </c>
      <c r="B630" s="7" t="s">
        <v>34</v>
      </c>
      <c r="C630" s="3" t="str">
        <f>VLOOKUP(B630,'Accounts chart'!$A:$B,2,FALSE)</f>
        <v>รายรับค่าส่วนกลาง</v>
      </c>
      <c r="D630" t="s">
        <v>755</v>
      </c>
      <c r="E630" t="s">
        <v>653</v>
      </c>
      <c r="F630" t="s">
        <v>163</v>
      </c>
      <c r="G630" t="str">
        <f>VLOOKUP(F630,รายชื่อลูกบ้าน!$A:$B,2,FALSE)</f>
        <v>คุณสุภาภรณ์ ใจตั้ง</v>
      </c>
      <c r="H630" t="s">
        <v>665</v>
      </c>
      <c r="J630" s="23">
        <v>600</v>
      </c>
    </row>
    <row r="631" spans="1:10">
      <c r="A631" s="2">
        <v>242247</v>
      </c>
      <c r="B631" s="7" t="s">
        <v>34</v>
      </c>
      <c r="C631" s="3" t="str">
        <f>VLOOKUP(B631,'Accounts chart'!$A:$B,2,FALSE)</f>
        <v>รายรับค่าส่วนกลาง</v>
      </c>
      <c r="D631" t="s">
        <v>755</v>
      </c>
      <c r="E631" t="s">
        <v>654</v>
      </c>
      <c r="F631" t="s">
        <v>364</v>
      </c>
      <c r="G631" t="str">
        <f>VLOOKUP(F631,รายชื่อลูกบ้าน!$A:$B,2,FALSE)</f>
        <v>คุณกิตติ แสวงภาค</v>
      </c>
      <c r="H631" t="s">
        <v>665</v>
      </c>
      <c r="J631" s="23">
        <v>600</v>
      </c>
    </row>
    <row r="632" spans="1:10">
      <c r="A632" s="2">
        <v>242247</v>
      </c>
      <c r="B632" s="7" t="s">
        <v>34</v>
      </c>
      <c r="C632" s="3" t="str">
        <f>VLOOKUP(B632,'Accounts chart'!$A:$B,2,FALSE)</f>
        <v>รายรับค่าส่วนกลาง</v>
      </c>
      <c r="D632" t="s">
        <v>755</v>
      </c>
      <c r="E632" t="s">
        <v>655</v>
      </c>
      <c r="F632" t="s">
        <v>69</v>
      </c>
      <c r="G632" t="str">
        <f>VLOOKUP(F632,รายชื่อลูกบ้าน!$A:$B,2,FALSE)</f>
        <v>คุณโกวิท-คุณศันสนีย์ รัตนมณี</v>
      </c>
      <c r="H632" t="s">
        <v>424</v>
      </c>
      <c r="J632" s="23">
        <v>600</v>
      </c>
    </row>
    <row r="634" spans="1:10">
      <c r="A634" s="2">
        <v>242247</v>
      </c>
      <c r="B634" s="7" t="s">
        <v>46</v>
      </c>
      <c r="C634" s="3" t="str">
        <f>VLOOKUP(B634,'Accounts chart'!$A:$B,2,FALSE)</f>
        <v>ค่าดูแลส่วนกลาง</v>
      </c>
      <c r="D634" t="s">
        <v>962</v>
      </c>
      <c r="H634" t="s">
        <v>963</v>
      </c>
      <c r="I634" s="23">
        <v>15000</v>
      </c>
    </row>
    <row r="635" spans="1:10">
      <c r="A635" s="2">
        <v>242247</v>
      </c>
      <c r="B635" s="7" t="s">
        <v>48</v>
      </c>
      <c r="C635" s="3" t="str">
        <f>VLOOKUP(B635,'Accounts chart'!$A:$B,2,FALSE)</f>
        <v>ค่ารักษาความปลอดภัย</v>
      </c>
      <c r="D635" t="s">
        <v>962</v>
      </c>
      <c r="H635" t="s">
        <v>963</v>
      </c>
      <c r="I635" s="23">
        <v>38814.32</v>
      </c>
    </row>
    <row r="636" spans="1:10">
      <c r="A636" s="2">
        <v>242247</v>
      </c>
      <c r="B636" s="7" t="s">
        <v>50</v>
      </c>
      <c r="C636" s="3" t="str">
        <f>VLOOKUP(B636,'Accounts chart'!$A:$B,2,FALSE)</f>
        <v>ค่าเก็บขยะ</v>
      </c>
      <c r="D636" t="s">
        <v>962</v>
      </c>
      <c r="H636" t="s">
        <v>963</v>
      </c>
      <c r="I636" s="23">
        <v>3000</v>
      </c>
    </row>
    <row r="637" spans="1:10">
      <c r="A637" s="2">
        <v>242247</v>
      </c>
      <c r="B637" s="7" t="s">
        <v>52</v>
      </c>
      <c r="C637" s="3" t="str">
        <f>VLOOKUP(B637,'Accounts chart'!$A:$B,2,FALSE)</f>
        <v>ค่าบริการดูแลสระว่ายน้ำ</v>
      </c>
      <c r="D637" t="s">
        <v>962</v>
      </c>
      <c r="H637" t="s">
        <v>963</v>
      </c>
      <c r="I637" s="23">
        <v>7500</v>
      </c>
    </row>
    <row r="638" spans="1:10">
      <c r="A638" s="2">
        <v>242247</v>
      </c>
      <c r="B638" s="7" t="s">
        <v>54</v>
      </c>
      <c r="C638" s="3" t="str">
        <f>VLOOKUP(B638,'Accounts chart'!$A:$B,2,FALSE)</f>
        <v>ค่าไฟฟ้า</v>
      </c>
      <c r="D638" t="s">
        <v>962</v>
      </c>
      <c r="H638" t="s">
        <v>963</v>
      </c>
      <c r="I638" s="23">
        <v>6231.77</v>
      </c>
    </row>
    <row r="639" spans="1:10">
      <c r="A639" s="2">
        <v>242247</v>
      </c>
      <c r="B639" s="7" t="s">
        <v>22</v>
      </c>
      <c r="C639" s="3" t="str">
        <f>VLOOKUP(B639,'Accounts chart'!$A:$B,2,FALSE)</f>
        <v>ค่าดูแลส่วนกลางค้างจ่าย</v>
      </c>
      <c r="D639" t="s">
        <v>962</v>
      </c>
      <c r="H639" t="s">
        <v>963</v>
      </c>
      <c r="J639" s="23">
        <v>15000</v>
      </c>
    </row>
    <row r="640" spans="1:10">
      <c r="A640" s="2">
        <v>242247</v>
      </c>
      <c r="B640" s="7" t="s">
        <v>18</v>
      </c>
      <c r="C640" s="3" t="str">
        <f>VLOOKUP(B640,'Accounts chart'!$A:$B,2,FALSE)</f>
        <v>ค่ารักษาความปลอดภัยค้างจ่าย</v>
      </c>
      <c r="D640" t="s">
        <v>962</v>
      </c>
      <c r="H640" t="s">
        <v>963</v>
      </c>
      <c r="J640" s="23">
        <v>38814.32</v>
      </c>
    </row>
    <row r="641" spans="1:10">
      <c r="A641" s="2">
        <v>242247</v>
      </c>
      <c r="B641" s="7" t="s">
        <v>14</v>
      </c>
      <c r="C641" s="3" t="str">
        <f>VLOOKUP(B641,'Accounts chart'!$A:$B,2,FALSE)</f>
        <v>ค่าเก็บขยะค้างจ่าย</v>
      </c>
      <c r="D641" t="s">
        <v>962</v>
      </c>
      <c r="H641" t="s">
        <v>963</v>
      </c>
      <c r="J641" s="23">
        <v>3000</v>
      </c>
    </row>
    <row r="642" spans="1:10">
      <c r="A642" s="2">
        <v>242247</v>
      </c>
      <c r="B642" s="7" t="s">
        <v>16</v>
      </c>
      <c r="C642" s="3" t="str">
        <f>VLOOKUP(B642,'Accounts chart'!$A:$B,2,FALSE)</f>
        <v>ค่าบริการดูแลสระว่ายน้ำค้างจ่าย</v>
      </c>
      <c r="D642" t="s">
        <v>962</v>
      </c>
      <c r="H642" t="s">
        <v>963</v>
      </c>
      <c r="J642" s="23">
        <v>7500</v>
      </c>
    </row>
    <row r="643" spans="1:10">
      <c r="A643" s="2">
        <v>242247</v>
      </c>
      <c r="B643" s="7" t="s">
        <v>20</v>
      </c>
      <c r="C643" s="3" t="str">
        <f>VLOOKUP(B643,'Accounts chart'!$A:$B,2,FALSE)</f>
        <v>ค่าไฟฟ้าค้างจ่าย</v>
      </c>
      <c r="D643" t="s">
        <v>962</v>
      </c>
      <c r="H643" t="s">
        <v>963</v>
      </c>
      <c r="J643" s="23">
        <v>6231.77</v>
      </c>
    </row>
    <row r="644" spans="1:10">
      <c r="A644" s="2"/>
      <c r="C644" s="3"/>
    </row>
    <row r="645" spans="1:10">
      <c r="A645" s="2">
        <v>242247</v>
      </c>
      <c r="B645" s="7" t="s">
        <v>0</v>
      </c>
      <c r="C645" s="3" t="str">
        <f>VLOOKUP(B645,'Accounts chart'!$A:$B,2,FALSE)</f>
        <v>เงินสด</v>
      </c>
      <c r="D645" t="s">
        <v>981</v>
      </c>
      <c r="F645" t="s">
        <v>979</v>
      </c>
      <c r="G645" t="s">
        <v>792</v>
      </c>
      <c r="H645" t="s">
        <v>978</v>
      </c>
      <c r="I645" s="23">
        <v>2</v>
      </c>
    </row>
    <row r="646" spans="1:10">
      <c r="A646" s="2">
        <v>242247</v>
      </c>
      <c r="B646" s="7" t="s">
        <v>976</v>
      </c>
      <c r="C646" s="3" t="str">
        <f>VLOOKUP(B646,'Accounts chart'!$A:$B,2,FALSE)</f>
        <v>ค่าใช้จ่ายเบ็ดเตล็ด</v>
      </c>
      <c r="D646" t="s">
        <v>981</v>
      </c>
      <c r="F646" t="s">
        <v>979</v>
      </c>
      <c r="G646" t="s">
        <v>792</v>
      </c>
      <c r="H646" t="s">
        <v>978</v>
      </c>
      <c r="I646" s="23">
        <f>5000+1300+1800+129+759+800+90+15+105</f>
        <v>9998</v>
      </c>
    </row>
    <row r="647" spans="1:10">
      <c r="A647" s="2">
        <v>242247</v>
      </c>
      <c r="B647" s="7" t="s">
        <v>8</v>
      </c>
      <c r="C647" s="3" t="str">
        <f>VLOOKUP(B647,'Accounts chart'!$A:$B,2,FALSE)</f>
        <v>เงินทดลองจ่าย (สำรองจ่าย)</v>
      </c>
      <c r="D647" t="s">
        <v>981</v>
      </c>
      <c r="F647" t="s">
        <v>979</v>
      </c>
      <c r="G647" t="s">
        <v>792</v>
      </c>
      <c r="H647" t="s">
        <v>978</v>
      </c>
      <c r="J647" s="23">
        <v>10000</v>
      </c>
    </row>
    <row r="649" spans="1:10">
      <c r="A649" s="2">
        <v>242248</v>
      </c>
      <c r="B649" s="7" t="s">
        <v>3</v>
      </c>
      <c r="C649" s="3" t="str">
        <f>VLOOKUP(B649,'Accounts chart'!$A:$B,2,FALSE)</f>
        <v>ธนาคารกสิกรไทย SA-040-1-56500-0</v>
      </c>
      <c r="D649" t="s">
        <v>756</v>
      </c>
      <c r="E649" t="s">
        <v>666</v>
      </c>
      <c r="F649" t="s">
        <v>122</v>
      </c>
      <c r="G649" t="str">
        <f>VLOOKUP(F649,รายชื่อลูกบ้าน!$A:$B,2,FALSE)</f>
        <v>คุณศิวกร รัตนประดิษฐ์</v>
      </c>
      <c r="H649" t="s">
        <v>665</v>
      </c>
      <c r="I649" s="23">
        <v>600</v>
      </c>
    </row>
    <row r="650" spans="1:10">
      <c r="A650" s="2">
        <v>242248</v>
      </c>
      <c r="B650" s="7" t="s">
        <v>3</v>
      </c>
      <c r="C650" s="3" t="str">
        <f>VLOOKUP(B650,'Accounts chart'!$A:$B,2,FALSE)</f>
        <v>ธนาคารกสิกรไทย SA-040-1-56500-0</v>
      </c>
      <c r="D650" t="s">
        <v>756</v>
      </c>
      <c r="E650" t="s">
        <v>667</v>
      </c>
      <c r="F650" t="s">
        <v>225</v>
      </c>
      <c r="G650" t="str">
        <f>VLOOKUP(F650,รายชื่อลูกบ้าน!$A:$B,2,FALSE)</f>
        <v>คุณถวิล เคสา</v>
      </c>
      <c r="H650" t="s">
        <v>665</v>
      </c>
      <c r="I650" s="23">
        <v>600</v>
      </c>
    </row>
    <row r="651" spans="1:10">
      <c r="A651" s="2">
        <v>242248</v>
      </c>
      <c r="B651" s="7" t="s">
        <v>3</v>
      </c>
      <c r="C651" s="3" t="str">
        <f>VLOOKUP(B651,'Accounts chart'!$A:$B,2,FALSE)</f>
        <v>ธนาคารกสิกรไทย SA-040-1-56500-0</v>
      </c>
      <c r="D651" t="s">
        <v>756</v>
      </c>
      <c r="E651" t="s">
        <v>668</v>
      </c>
      <c r="F651" t="s">
        <v>313</v>
      </c>
      <c r="G651" t="str">
        <f>VLOOKUP(F651,รายชื่อลูกบ้าน!$A:$B,2,FALSE)</f>
        <v>คุณภานุมาศ ธนาธรศิริยุทธ์</v>
      </c>
      <c r="H651" t="s">
        <v>665</v>
      </c>
      <c r="I651" s="23">
        <v>600</v>
      </c>
    </row>
    <row r="652" spans="1:10">
      <c r="A652" s="2">
        <v>242248</v>
      </c>
      <c r="B652" s="7" t="s">
        <v>3</v>
      </c>
      <c r="C652" s="3" t="str">
        <f>VLOOKUP(B652,'Accounts chart'!$A:$B,2,FALSE)</f>
        <v>ธนาคารกสิกรไทย SA-040-1-56500-0</v>
      </c>
      <c r="D652" t="s">
        <v>756</v>
      </c>
      <c r="E652" t="s">
        <v>669</v>
      </c>
      <c r="F652" t="s">
        <v>107</v>
      </c>
      <c r="G652" t="str">
        <f>VLOOKUP(F652,รายชื่อลูกบ้าน!$A:$B,2,FALSE)</f>
        <v>คุณอนันต์ แจ่มจันทร์</v>
      </c>
      <c r="H652" t="s">
        <v>665</v>
      </c>
      <c r="I652" s="23">
        <v>600</v>
      </c>
    </row>
    <row r="653" spans="1:10">
      <c r="A653" s="2">
        <v>242248</v>
      </c>
      <c r="B653" s="7" t="s">
        <v>3</v>
      </c>
      <c r="C653" s="3" t="str">
        <f>VLOOKUP(B653,'Accounts chart'!$A:$B,2,FALSE)</f>
        <v>ธนาคารกสิกรไทย SA-040-1-56500-0</v>
      </c>
      <c r="D653" t="s">
        <v>756</v>
      </c>
      <c r="E653" t="s">
        <v>670</v>
      </c>
      <c r="F653" t="s">
        <v>101</v>
      </c>
      <c r="G653" t="str">
        <f>VLOOKUP(F653,รายชื่อลูกบ้าน!$A:$B,2,FALSE)</f>
        <v>คุณเฉลิมเกียรติ และนางนันริญา ราชนาจันทร์</v>
      </c>
      <c r="H653" t="s">
        <v>424</v>
      </c>
      <c r="I653" s="23">
        <v>600</v>
      </c>
    </row>
    <row r="654" spans="1:10">
      <c r="A654" s="2">
        <v>242248</v>
      </c>
      <c r="B654" s="7" t="s">
        <v>3</v>
      </c>
      <c r="C654" s="3" t="str">
        <f>VLOOKUP(B654,'Accounts chart'!$A:$B,2,FALSE)</f>
        <v>ธนาคารกสิกรไทย SA-040-1-56500-0</v>
      </c>
      <c r="D654" t="s">
        <v>756</v>
      </c>
      <c r="E654" t="s">
        <v>671</v>
      </c>
      <c r="F654" t="s">
        <v>233</v>
      </c>
      <c r="G654" t="str">
        <f>VLOOKUP(F654,รายชื่อลูกบ้าน!$A:$B,2,FALSE)</f>
        <v>คุณวิทยา วัดเข้าหลาม</v>
      </c>
      <c r="H654" t="s">
        <v>665</v>
      </c>
      <c r="I654" s="23">
        <v>600.80999999999995</v>
      </c>
    </row>
    <row r="655" spans="1:10">
      <c r="A655" s="2">
        <v>242248</v>
      </c>
      <c r="B655" s="7" t="s">
        <v>3</v>
      </c>
      <c r="C655" s="3" t="str">
        <f>VLOOKUP(B655,'Accounts chart'!$A:$B,2,FALSE)</f>
        <v>ธนาคารกสิกรไทย SA-040-1-56500-0</v>
      </c>
      <c r="D655" t="s">
        <v>756</v>
      </c>
      <c r="E655" t="s">
        <v>672</v>
      </c>
      <c r="F655" t="s">
        <v>236</v>
      </c>
      <c r="G655" t="str">
        <f>VLOOKUP(F655,รายชื่อลูกบ้าน!$A:$B,2,FALSE)</f>
        <v>คุณพงษ์พิชญ์-คุณชลธิดา บุญศิริ</v>
      </c>
      <c r="H655" t="s">
        <v>424</v>
      </c>
      <c r="I655" s="23">
        <v>600</v>
      </c>
    </row>
    <row r="656" spans="1:10">
      <c r="A656" s="2">
        <v>242248</v>
      </c>
      <c r="B656" s="7" t="s">
        <v>3</v>
      </c>
      <c r="C656" s="3" t="str">
        <f>VLOOKUP(B656,'Accounts chart'!$A:$B,2,FALSE)</f>
        <v>ธนาคารกสิกรไทย SA-040-1-56500-0</v>
      </c>
      <c r="D656" t="s">
        <v>756</v>
      </c>
      <c r="E656" t="s">
        <v>673</v>
      </c>
      <c r="F656" t="s">
        <v>161</v>
      </c>
      <c r="G656" t="str">
        <f>VLOOKUP(F656,รายชื่อลูกบ้าน!$A:$B,2,FALSE)</f>
        <v>คุณพงษ์พัฒนา มาบุญ</v>
      </c>
      <c r="H656" t="s">
        <v>424</v>
      </c>
      <c r="I656" s="23">
        <v>600</v>
      </c>
    </row>
    <row r="657" spans="1:10">
      <c r="A657" s="2">
        <v>242248</v>
      </c>
      <c r="B657" s="7" t="s">
        <v>34</v>
      </c>
      <c r="C657" s="3" t="str">
        <f>VLOOKUP(B657,'Accounts chart'!$A:$B,2,FALSE)</f>
        <v>รายรับค่าส่วนกลาง</v>
      </c>
      <c r="D657" t="s">
        <v>756</v>
      </c>
      <c r="E657" t="s">
        <v>666</v>
      </c>
      <c r="F657" t="s">
        <v>122</v>
      </c>
      <c r="G657" t="str">
        <f>VLOOKUP(F657,รายชื่อลูกบ้าน!$A:$B,2,FALSE)</f>
        <v>คุณศิวกร รัตนประดิษฐ์</v>
      </c>
      <c r="H657" t="s">
        <v>665</v>
      </c>
      <c r="J657" s="23">
        <v>600</v>
      </c>
    </row>
    <row r="658" spans="1:10">
      <c r="A658" s="2">
        <v>242248</v>
      </c>
      <c r="B658" s="7" t="s">
        <v>34</v>
      </c>
      <c r="C658" s="3" t="str">
        <f>VLOOKUP(B658,'Accounts chart'!$A:$B,2,FALSE)</f>
        <v>รายรับค่าส่วนกลาง</v>
      </c>
      <c r="D658" t="s">
        <v>756</v>
      </c>
      <c r="E658" t="s">
        <v>667</v>
      </c>
      <c r="F658" t="s">
        <v>225</v>
      </c>
      <c r="G658" t="str">
        <f>VLOOKUP(F658,รายชื่อลูกบ้าน!$A:$B,2,FALSE)</f>
        <v>คุณถวิล เคสา</v>
      </c>
      <c r="H658" t="s">
        <v>665</v>
      </c>
      <c r="J658" s="23">
        <v>600</v>
      </c>
    </row>
    <row r="659" spans="1:10">
      <c r="A659" s="2">
        <v>242248</v>
      </c>
      <c r="B659" s="7" t="s">
        <v>34</v>
      </c>
      <c r="C659" s="3" t="str">
        <f>VLOOKUP(B659,'Accounts chart'!$A:$B,2,FALSE)</f>
        <v>รายรับค่าส่วนกลาง</v>
      </c>
      <c r="D659" t="s">
        <v>756</v>
      </c>
      <c r="E659" t="s">
        <v>668</v>
      </c>
      <c r="F659" t="s">
        <v>313</v>
      </c>
      <c r="G659" t="str">
        <f>VLOOKUP(F659,รายชื่อลูกบ้าน!$A:$B,2,FALSE)</f>
        <v>คุณภานุมาศ ธนาธรศิริยุทธ์</v>
      </c>
      <c r="H659" t="s">
        <v>665</v>
      </c>
      <c r="J659" s="23">
        <v>600</v>
      </c>
    </row>
    <row r="660" spans="1:10">
      <c r="A660" s="2">
        <v>242248</v>
      </c>
      <c r="B660" s="7" t="s">
        <v>34</v>
      </c>
      <c r="C660" s="3" t="str">
        <f>VLOOKUP(B660,'Accounts chart'!$A:$B,2,FALSE)</f>
        <v>รายรับค่าส่วนกลาง</v>
      </c>
      <c r="D660" t="s">
        <v>756</v>
      </c>
      <c r="E660" t="s">
        <v>669</v>
      </c>
      <c r="F660" t="s">
        <v>107</v>
      </c>
      <c r="G660" t="str">
        <f>VLOOKUP(F660,รายชื่อลูกบ้าน!$A:$B,2,FALSE)</f>
        <v>คุณอนันต์ แจ่มจันทร์</v>
      </c>
      <c r="H660" t="s">
        <v>665</v>
      </c>
      <c r="J660" s="23">
        <v>600</v>
      </c>
    </row>
    <row r="661" spans="1:10">
      <c r="A661" s="2">
        <v>242248</v>
      </c>
      <c r="B661" s="7" t="s">
        <v>34</v>
      </c>
      <c r="C661" s="3" t="str">
        <f>VLOOKUP(B661,'Accounts chart'!$A:$B,2,FALSE)</f>
        <v>รายรับค่าส่วนกลาง</v>
      </c>
      <c r="D661" t="s">
        <v>756</v>
      </c>
      <c r="E661" t="s">
        <v>670</v>
      </c>
      <c r="F661" t="s">
        <v>101</v>
      </c>
      <c r="G661" t="str">
        <f>VLOOKUP(F661,รายชื่อลูกบ้าน!$A:$B,2,FALSE)</f>
        <v>คุณเฉลิมเกียรติ และนางนันริญา ราชนาจันทร์</v>
      </c>
      <c r="H661" t="s">
        <v>424</v>
      </c>
      <c r="J661" s="23">
        <v>600</v>
      </c>
    </row>
    <row r="662" spans="1:10">
      <c r="A662" s="2">
        <v>242248</v>
      </c>
      <c r="B662" s="7" t="s">
        <v>34</v>
      </c>
      <c r="C662" s="3" t="str">
        <f>VLOOKUP(B662,'Accounts chart'!$A:$B,2,FALSE)</f>
        <v>รายรับค่าส่วนกลาง</v>
      </c>
      <c r="D662" t="s">
        <v>756</v>
      </c>
      <c r="E662" t="s">
        <v>671</v>
      </c>
      <c r="F662" t="s">
        <v>233</v>
      </c>
      <c r="G662" t="str">
        <f>VLOOKUP(F662,รายชื่อลูกบ้าน!$A:$B,2,FALSE)</f>
        <v>คุณวิทยา วัดเข้าหลาม</v>
      </c>
      <c r="H662" t="s">
        <v>665</v>
      </c>
      <c r="J662" s="23">
        <v>600.80999999999995</v>
      </c>
    </row>
    <row r="663" spans="1:10">
      <c r="A663" s="2">
        <v>242248</v>
      </c>
      <c r="B663" s="7" t="s">
        <v>34</v>
      </c>
      <c r="C663" s="3" t="str">
        <f>VLOOKUP(B663,'Accounts chart'!$A:$B,2,FALSE)</f>
        <v>รายรับค่าส่วนกลาง</v>
      </c>
      <c r="D663" t="s">
        <v>756</v>
      </c>
      <c r="E663" t="s">
        <v>672</v>
      </c>
      <c r="F663" t="s">
        <v>236</v>
      </c>
      <c r="G663" t="str">
        <f>VLOOKUP(F663,รายชื่อลูกบ้าน!$A:$B,2,FALSE)</f>
        <v>คุณพงษ์พิชญ์-คุณชลธิดา บุญศิริ</v>
      </c>
      <c r="H663" t="s">
        <v>424</v>
      </c>
      <c r="J663" s="23">
        <v>600</v>
      </c>
    </row>
    <row r="664" spans="1:10">
      <c r="A664" s="2">
        <v>242248</v>
      </c>
      <c r="B664" s="7" t="s">
        <v>34</v>
      </c>
      <c r="C664" s="3" t="str">
        <f>VLOOKUP(B664,'Accounts chart'!$A:$B,2,FALSE)</f>
        <v>รายรับค่าส่วนกลาง</v>
      </c>
      <c r="D664" t="s">
        <v>756</v>
      </c>
      <c r="E664" t="s">
        <v>673</v>
      </c>
      <c r="F664" t="s">
        <v>161</v>
      </c>
      <c r="G664" t="str">
        <f>VLOOKUP(F664,รายชื่อลูกบ้าน!$A:$B,2,FALSE)</f>
        <v>คุณพงษ์พัฒนา มาบุญ</v>
      </c>
      <c r="H664" t="s">
        <v>424</v>
      </c>
      <c r="J664" s="23">
        <v>600</v>
      </c>
    </row>
    <row r="665" spans="1:10">
      <c r="A665" s="2"/>
      <c r="C665" s="3"/>
    </row>
    <row r="666" spans="1:10">
      <c r="A666" s="2"/>
      <c r="C666" s="3"/>
    </row>
    <row r="667" spans="1:10">
      <c r="A667" s="2">
        <v>242249</v>
      </c>
      <c r="B667" s="7" t="s">
        <v>3</v>
      </c>
      <c r="C667" s="3" t="str">
        <f>VLOOKUP(B667,'Accounts chart'!$A:$B,2,FALSE)</f>
        <v>ธนาคารกสิกรไทย SA-040-1-56500-0</v>
      </c>
      <c r="D667" t="s">
        <v>757</v>
      </c>
      <c r="E667" t="s">
        <v>674</v>
      </c>
      <c r="F667" t="s">
        <v>207</v>
      </c>
      <c r="G667" t="str">
        <f>VLOOKUP(F667,รายชื่อลูกบ้าน!$A:$B,2,FALSE)</f>
        <v>คุณกิตติภูมิ กาญจนจิรวงศ์</v>
      </c>
      <c r="H667" t="s">
        <v>424</v>
      </c>
      <c r="I667" s="23">
        <v>600</v>
      </c>
    </row>
    <row r="668" spans="1:10">
      <c r="A668" s="2">
        <v>242249</v>
      </c>
      <c r="B668" s="7" t="s">
        <v>3</v>
      </c>
      <c r="C668" s="3" t="str">
        <f>VLOOKUP(B668,'Accounts chart'!$A:$B,2,FALSE)</f>
        <v>ธนาคารกสิกรไทย SA-040-1-56500-0</v>
      </c>
      <c r="D668" t="s">
        <v>757</v>
      </c>
      <c r="E668" t="s">
        <v>675</v>
      </c>
      <c r="F668" t="s">
        <v>109</v>
      </c>
      <c r="G668" t="str">
        <f>VLOOKUP(F668,รายชื่อลูกบ้าน!$A:$B,2,FALSE)</f>
        <v>คุณพัฒนชญา+คุณธิตินันท์ วงค์บุปผา</v>
      </c>
      <c r="H668" t="s">
        <v>665</v>
      </c>
      <c r="I668" s="23">
        <v>600</v>
      </c>
    </row>
    <row r="669" spans="1:10">
      <c r="A669" s="2">
        <v>242249</v>
      </c>
      <c r="B669" s="7" t="s">
        <v>3</v>
      </c>
      <c r="C669" s="3" t="str">
        <f>VLOOKUP(B669,'Accounts chart'!$A:$B,2,FALSE)</f>
        <v>ธนาคารกสิกรไทย SA-040-1-56500-0</v>
      </c>
      <c r="D669" t="s">
        <v>757</v>
      </c>
      <c r="E669" t="s">
        <v>676</v>
      </c>
      <c r="F669" t="s">
        <v>167</v>
      </c>
      <c r="G669" t="str">
        <f>VLOOKUP(F669,รายชื่อลูกบ้าน!$A:$B,2,FALSE)</f>
        <v>คุณคฑาวุธ พิมลศรี</v>
      </c>
      <c r="H669" t="s">
        <v>424</v>
      </c>
      <c r="I669" s="23">
        <v>600</v>
      </c>
    </row>
    <row r="670" spans="1:10">
      <c r="A670" s="2">
        <v>242249</v>
      </c>
      <c r="B670" s="7" t="s">
        <v>3</v>
      </c>
      <c r="C670" s="3" t="str">
        <f>VLOOKUP(B670,'Accounts chart'!$A:$B,2,FALSE)</f>
        <v>ธนาคารกสิกรไทย SA-040-1-56500-0</v>
      </c>
      <c r="D670" t="s">
        <v>757</v>
      </c>
      <c r="E670" t="s">
        <v>677</v>
      </c>
      <c r="F670" t="s">
        <v>279</v>
      </c>
      <c r="G670" t="str">
        <f>VLOOKUP(F670,รายชื่อลูกบ้าน!$A:$B,2,FALSE)</f>
        <v>คุณเสกสิทธิ์ คำธานี</v>
      </c>
      <c r="H670" t="s">
        <v>424</v>
      </c>
      <c r="I670" s="23">
        <v>600</v>
      </c>
    </row>
    <row r="671" spans="1:10">
      <c r="A671" s="2">
        <v>242249</v>
      </c>
      <c r="B671" s="7" t="s">
        <v>34</v>
      </c>
      <c r="C671" s="3" t="str">
        <f>VLOOKUP(B671,'Accounts chart'!$A:$B,2,FALSE)</f>
        <v>รายรับค่าส่วนกลาง</v>
      </c>
      <c r="D671" t="s">
        <v>757</v>
      </c>
      <c r="E671" t="s">
        <v>674</v>
      </c>
      <c r="F671" t="s">
        <v>207</v>
      </c>
      <c r="G671" t="str">
        <f>VLOOKUP(F671,รายชื่อลูกบ้าน!$A:$B,2,FALSE)</f>
        <v>คุณกิตติภูมิ กาญจนจิรวงศ์</v>
      </c>
      <c r="H671" t="s">
        <v>424</v>
      </c>
      <c r="J671" s="23">
        <v>600</v>
      </c>
    </row>
    <row r="672" spans="1:10">
      <c r="A672" s="2">
        <v>242249</v>
      </c>
      <c r="B672" s="7" t="s">
        <v>34</v>
      </c>
      <c r="C672" s="3" t="str">
        <f>VLOOKUP(B672,'Accounts chart'!$A:$B,2,FALSE)</f>
        <v>รายรับค่าส่วนกลาง</v>
      </c>
      <c r="D672" t="s">
        <v>757</v>
      </c>
      <c r="E672" t="s">
        <v>675</v>
      </c>
      <c r="F672" t="s">
        <v>109</v>
      </c>
      <c r="G672" t="str">
        <f>VLOOKUP(F672,รายชื่อลูกบ้าน!$A:$B,2,FALSE)</f>
        <v>คุณพัฒนชญา+คุณธิตินันท์ วงค์บุปผา</v>
      </c>
      <c r="H672" t="s">
        <v>665</v>
      </c>
      <c r="J672" s="23">
        <v>600</v>
      </c>
    </row>
    <row r="673" spans="1:10">
      <c r="A673" s="2">
        <v>242249</v>
      </c>
      <c r="B673" s="7" t="s">
        <v>34</v>
      </c>
      <c r="C673" s="3" t="str">
        <f>VLOOKUP(B673,'Accounts chart'!$A:$B,2,FALSE)</f>
        <v>รายรับค่าส่วนกลาง</v>
      </c>
      <c r="D673" t="s">
        <v>757</v>
      </c>
      <c r="E673" t="s">
        <v>676</v>
      </c>
      <c r="F673" t="s">
        <v>167</v>
      </c>
      <c r="G673" t="str">
        <f>VLOOKUP(F673,รายชื่อลูกบ้าน!$A:$B,2,FALSE)</f>
        <v>คุณคฑาวุธ พิมลศรี</v>
      </c>
      <c r="H673" t="s">
        <v>424</v>
      </c>
      <c r="J673" s="23">
        <v>600</v>
      </c>
    </row>
    <row r="674" spans="1:10">
      <c r="A674" s="2">
        <v>242249</v>
      </c>
      <c r="B674" s="7" t="s">
        <v>34</v>
      </c>
      <c r="C674" s="3" t="str">
        <f>VLOOKUP(B674,'Accounts chart'!$A:$B,2,FALSE)</f>
        <v>รายรับค่าส่วนกลาง</v>
      </c>
      <c r="D674" t="s">
        <v>757</v>
      </c>
      <c r="E674" t="s">
        <v>677</v>
      </c>
      <c r="F674" t="s">
        <v>279</v>
      </c>
      <c r="G674" t="str">
        <f>VLOOKUP(F674,รายชื่อลูกบ้าน!$A:$B,2,FALSE)</f>
        <v>คุณเสกสิทธิ์ คำธานี</v>
      </c>
      <c r="H674" t="s">
        <v>424</v>
      </c>
      <c r="J674" s="23">
        <v>600</v>
      </c>
    </row>
    <row r="675" spans="1:10">
      <c r="A675" s="2"/>
      <c r="C675" s="3"/>
    </row>
    <row r="676" spans="1:10">
      <c r="A676" s="2">
        <v>242249</v>
      </c>
      <c r="B676" s="7" t="s">
        <v>20</v>
      </c>
      <c r="C676" s="3" t="str">
        <f>VLOOKUP(B676,'Accounts chart'!$A:$B,2,FALSE)</f>
        <v>ค่าไฟฟ้าค้างจ่าย</v>
      </c>
      <c r="D676" t="s">
        <v>936</v>
      </c>
      <c r="G676" t="s">
        <v>777</v>
      </c>
      <c r="H676" t="s">
        <v>935</v>
      </c>
      <c r="I676" s="20">
        <v>6231.77</v>
      </c>
      <c r="J676" s="20"/>
    </row>
    <row r="677" spans="1:10">
      <c r="A677" s="2">
        <v>242249</v>
      </c>
      <c r="B677" s="7" t="s">
        <v>2</v>
      </c>
      <c r="C677" s="3" t="str">
        <f>VLOOKUP(B677,'Accounts chart'!$A:$B,2,FALSE)</f>
        <v>ธนาคารกสิกรไทย CA-040-1-57563-4</v>
      </c>
      <c r="D677" t="s">
        <v>936</v>
      </c>
      <c r="G677" t="s">
        <v>777</v>
      </c>
      <c r="H677" t="s">
        <v>935</v>
      </c>
      <c r="I677" s="20"/>
      <c r="J677" s="20">
        <v>6231.77</v>
      </c>
    </row>
    <row r="678" spans="1:10">
      <c r="A678" s="2"/>
      <c r="C678" s="3"/>
    </row>
    <row r="679" spans="1:10">
      <c r="A679" s="2">
        <v>242249</v>
      </c>
      <c r="B679" s="7" t="s">
        <v>42</v>
      </c>
      <c r="C679" s="3" t="str">
        <f>VLOOKUP(B679,'Accounts chart'!$A:$B,2,FALSE)</f>
        <v>ค่าอะไหล่ซ่อมบำรุงและค่าซ่อมแซมอื่นๆ</v>
      </c>
      <c r="D679" t="s">
        <v>937</v>
      </c>
      <c r="G679" t="s">
        <v>775</v>
      </c>
      <c r="H679" t="s">
        <v>938</v>
      </c>
      <c r="I679" s="20">
        <v>1712</v>
      </c>
      <c r="J679" s="20"/>
    </row>
    <row r="680" spans="1:10">
      <c r="A680" s="2">
        <v>242249</v>
      </c>
      <c r="B680" s="7" t="s">
        <v>2</v>
      </c>
      <c r="C680" s="3" t="str">
        <f>VLOOKUP(B680,'Accounts chart'!$A:$B,2,FALSE)</f>
        <v>ธนาคารกสิกรไทย CA-040-1-57563-4</v>
      </c>
      <c r="D680" t="s">
        <v>937</v>
      </c>
      <c r="G680" t="s">
        <v>775</v>
      </c>
      <c r="H680" t="s">
        <v>938</v>
      </c>
      <c r="I680" s="20"/>
      <c r="J680" s="20">
        <v>1712</v>
      </c>
    </row>
    <row r="681" spans="1:10">
      <c r="A681" s="2"/>
      <c r="C681" s="3"/>
    </row>
    <row r="682" spans="1:10">
      <c r="A682" s="2">
        <v>242250</v>
      </c>
      <c r="B682" s="7" t="s">
        <v>3</v>
      </c>
      <c r="C682" s="3" t="str">
        <f>VLOOKUP(B682,'Accounts chart'!$A:$B,2,FALSE)</f>
        <v>ธนาคารกสิกรไทย SA-040-1-56500-0</v>
      </c>
      <c r="D682" t="s">
        <v>758</v>
      </c>
      <c r="E682" t="s">
        <v>678</v>
      </c>
      <c r="F682" t="s">
        <v>87</v>
      </c>
      <c r="G682" t="str">
        <f>VLOOKUP(F682,รายชื่อลูกบ้าน!$A:$B,2,FALSE)</f>
        <v>คุณคงกฤษณ์ กาญจนพฤกษ์</v>
      </c>
      <c r="H682" t="s">
        <v>424</v>
      </c>
      <c r="I682" s="23">
        <v>600</v>
      </c>
    </row>
    <row r="683" spans="1:10">
      <c r="A683" s="2">
        <v>242250</v>
      </c>
      <c r="B683" s="7" t="s">
        <v>3</v>
      </c>
      <c r="C683" s="3" t="str">
        <f>VLOOKUP(B683,'Accounts chart'!$A:$B,2,FALSE)</f>
        <v>ธนาคารกสิกรไทย SA-040-1-56500-0</v>
      </c>
      <c r="D683" t="s">
        <v>758</v>
      </c>
      <c r="E683" t="s">
        <v>679</v>
      </c>
      <c r="F683" t="s">
        <v>339</v>
      </c>
      <c r="G683" t="str">
        <f>VLOOKUP(F683,รายชื่อลูกบ้าน!$A:$B,2,FALSE)</f>
        <v>คุณภควัต สันหนองเมือง</v>
      </c>
      <c r="H683" t="s">
        <v>424</v>
      </c>
      <c r="I683" s="23">
        <v>600</v>
      </c>
    </row>
    <row r="684" spans="1:10">
      <c r="A684" s="2">
        <v>242250</v>
      </c>
      <c r="B684" s="7" t="s">
        <v>3</v>
      </c>
      <c r="C684" s="3" t="str">
        <f>VLOOKUP(B684,'Accounts chart'!$A:$B,2,FALSE)</f>
        <v>ธนาคารกสิกรไทย SA-040-1-56500-0</v>
      </c>
      <c r="D684" t="s">
        <v>758</v>
      </c>
      <c r="E684" t="s">
        <v>680</v>
      </c>
      <c r="F684" t="s">
        <v>74</v>
      </c>
      <c r="G684" t="str">
        <f>VLOOKUP(F684,รายชื่อลูกบ้าน!$A:$B,2,FALSE)</f>
        <v>คุณคมกฤษณ์ เรืองเพ็ง</v>
      </c>
      <c r="H684" t="s">
        <v>665</v>
      </c>
      <c r="I684" s="23">
        <v>600</v>
      </c>
    </row>
    <row r="685" spans="1:10">
      <c r="A685" s="2">
        <v>242250</v>
      </c>
      <c r="B685" s="7" t="s">
        <v>3</v>
      </c>
      <c r="C685" s="3" t="str">
        <f>VLOOKUP(B685,'Accounts chart'!$A:$B,2,FALSE)</f>
        <v>ธนาคารกสิกรไทย SA-040-1-56500-0</v>
      </c>
      <c r="D685" t="s">
        <v>758</v>
      </c>
      <c r="E685" t="s">
        <v>681</v>
      </c>
      <c r="F685" t="s">
        <v>255</v>
      </c>
      <c r="G685" t="str">
        <f>VLOOKUP(F685,รายชื่อลูกบ้าน!$A:$B,2,FALSE)</f>
        <v>คุณไชยยันต์ แก้วบุญศรี</v>
      </c>
      <c r="H685" t="s">
        <v>665</v>
      </c>
      <c r="I685" s="23">
        <v>600</v>
      </c>
    </row>
    <row r="686" spans="1:10">
      <c r="A686" s="25">
        <v>242250</v>
      </c>
      <c r="B686" s="26" t="s">
        <v>3</v>
      </c>
      <c r="C686" s="27" t="str">
        <f>VLOOKUP(B686,'Accounts chart'!$A:$B,2,FALSE)</f>
        <v>ธนาคารกสิกรไทย SA-040-1-56500-0</v>
      </c>
      <c r="D686" s="4" t="s">
        <v>758</v>
      </c>
      <c r="E686" s="4" t="s">
        <v>682</v>
      </c>
      <c r="F686" s="4"/>
      <c r="G686" s="4" t="e">
        <f>VLOOKUP(F686,รายชื่อลูกบ้าน!$A:$B,2,FALSE)</f>
        <v>#N/A</v>
      </c>
      <c r="H686" s="4" t="s">
        <v>699</v>
      </c>
      <c r="I686" s="28">
        <v>600</v>
      </c>
      <c r="J686" s="28"/>
    </row>
    <row r="687" spans="1:10">
      <c r="A687" s="2">
        <v>242250</v>
      </c>
      <c r="B687" s="7" t="s">
        <v>34</v>
      </c>
      <c r="C687" s="3" t="str">
        <f>VLOOKUP(B687,'Accounts chart'!$A:$B,2,FALSE)</f>
        <v>รายรับค่าส่วนกลาง</v>
      </c>
      <c r="D687" t="s">
        <v>758</v>
      </c>
      <c r="E687" t="s">
        <v>678</v>
      </c>
      <c r="F687" t="s">
        <v>87</v>
      </c>
      <c r="G687" t="str">
        <f>VLOOKUP(F687,รายชื่อลูกบ้าน!$A:$B,2,FALSE)</f>
        <v>คุณคงกฤษณ์ กาญจนพฤกษ์</v>
      </c>
      <c r="H687" t="s">
        <v>424</v>
      </c>
      <c r="J687" s="23">
        <v>600</v>
      </c>
    </row>
    <row r="688" spans="1:10">
      <c r="A688" s="2">
        <v>242250</v>
      </c>
      <c r="B688" s="7" t="s">
        <v>34</v>
      </c>
      <c r="C688" s="3" t="str">
        <f>VLOOKUP(B688,'Accounts chart'!$A:$B,2,FALSE)</f>
        <v>รายรับค่าส่วนกลาง</v>
      </c>
      <c r="D688" t="s">
        <v>758</v>
      </c>
      <c r="E688" t="s">
        <v>679</v>
      </c>
      <c r="F688" t="s">
        <v>339</v>
      </c>
      <c r="G688" t="str">
        <f>VLOOKUP(F688,รายชื่อลูกบ้าน!$A:$B,2,FALSE)</f>
        <v>คุณภควัต สันหนองเมือง</v>
      </c>
      <c r="H688" t="s">
        <v>424</v>
      </c>
      <c r="J688" s="23">
        <v>600</v>
      </c>
    </row>
    <row r="689" spans="1:10">
      <c r="A689" s="2">
        <v>242250</v>
      </c>
      <c r="B689" s="7" t="s">
        <v>34</v>
      </c>
      <c r="C689" s="3" t="str">
        <f>VLOOKUP(B689,'Accounts chart'!$A:$B,2,FALSE)</f>
        <v>รายรับค่าส่วนกลาง</v>
      </c>
      <c r="D689" t="s">
        <v>758</v>
      </c>
      <c r="E689" t="s">
        <v>680</v>
      </c>
      <c r="F689" t="s">
        <v>74</v>
      </c>
      <c r="G689" t="str">
        <f>VLOOKUP(F689,รายชื่อลูกบ้าน!$A:$B,2,FALSE)</f>
        <v>คุณคมกฤษณ์ เรืองเพ็ง</v>
      </c>
      <c r="H689" t="s">
        <v>665</v>
      </c>
      <c r="J689" s="23">
        <v>600</v>
      </c>
    </row>
    <row r="690" spans="1:10">
      <c r="A690" s="2">
        <v>242250</v>
      </c>
      <c r="B690" s="7" t="s">
        <v>34</v>
      </c>
      <c r="C690" s="3" t="str">
        <f>VLOOKUP(B690,'Accounts chart'!$A:$B,2,FALSE)</f>
        <v>รายรับค่าส่วนกลาง</v>
      </c>
      <c r="D690" t="s">
        <v>758</v>
      </c>
      <c r="E690" t="s">
        <v>681</v>
      </c>
      <c r="F690" t="s">
        <v>255</v>
      </c>
      <c r="G690" t="str">
        <f>VLOOKUP(F690,รายชื่อลูกบ้าน!$A:$B,2,FALSE)</f>
        <v>คุณไชยยันต์ แก้วบุญศรี</v>
      </c>
      <c r="H690" t="s">
        <v>665</v>
      </c>
      <c r="J690" s="23">
        <v>600</v>
      </c>
    </row>
    <row r="691" spans="1:10">
      <c r="A691" s="25">
        <v>242250</v>
      </c>
      <c r="B691" s="26" t="s">
        <v>26</v>
      </c>
      <c r="C691" s="27" t="str">
        <f>VLOOKUP(B691,'Accounts chart'!$A:$B,2,FALSE)</f>
        <v>รายได้ค่าส่วนกลางไม่ทราบชือ</v>
      </c>
      <c r="D691" s="4" t="s">
        <v>758</v>
      </c>
      <c r="E691" s="4" t="s">
        <v>682</v>
      </c>
      <c r="F691" s="4"/>
      <c r="G691" s="4" t="e">
        <f>VLOOKUP(F691,รายชื่อลูกบ้าน!$A:$B,2,FALSE)</f>
        <v>#N/A</v>
      </c>
      <c r="H691" s="4" t="s">
        <v>699</v>
      </c>
      <c r="I691" s="28"/>
      <c r="J691" s="28">
        <v>600</v>
      </c>
    </row>
    <row r="692" spans="1:10">
      <c r="A692" s="2"/>
      <c r="C692" s="3"/>
    </row>
    <row r="693" spans="1:10">
      <c r="A693" s="2">
        <v>242251</v>
      </c>
      <c r="B693" s="7" t="s">
        <v>3</v>
      </c>
      <c r="C693" s="3" t="str">
        <f>VLOOKUP(B693,'Accounts chart'!$A:$B,2,FALSE)</f>
        <v>ธนาคารกสิกรไทย SA-040-1-56500-0</v>
      </c>
      <c r="D693" t="s">
        <v>759</v>
      </c>
      <c r="E693" t="s">
        <v>683</v>
      </c>
      <c r="F693" t="s">
        <v>121</v>
      </c>
      <c r="G693" t="str">
        <f>VLOOKUP(F693,รายชื่อลูกบ้าน!$A:$B,2,FALSE)</f>
        <v>คุณสถิตย์ ปาระพิมพ์</v>
      </c>
      <c r="H693" t="s">
        <v>424</v>
      </c>
      <c r="I693" s="23">
        <v>600</v>
      </c>
    </row>
    <row r="694" spans="1:10">
      <c r="A694" s="2">
        <v>242251</v>
      </c>
      <c r="B694" s="7" t="s">
        <v>3</v>
      </c>
      <c r="C694" s="3" t="str">
        <f>VLOOKUP(B694,'Accounts chart'!$A:$B,2,FALSE)</f>
        <v>ธนาคารกสิกรไทย SA-040-1-56500-0</v>
      </c>
      <c r="D694" t="s">
        <v>759</v>
      </c>
      <c r="E694" t="s">
        <v>684</v>
      </c>
      <c r="F694" t="s">
        <v>162</v>
      </c>
      <c r="G694" t="str">
        <f>VLOOKUP(F694,รายชื่อลูกบ้าน!$A:$B,2,FALSE)</f>
        <v>คุณศริตวรรธน์ ศรีวัฒนวรกุล</v>
      </c>
      <c r="H694" t="s">
        <v>700</v>
      </c>
      <c r="I694" s="23">
        <v>1200</v>
      </c>
    </row>
    <row r="695" spans="1:10">
      <c r="A695" s="2">
        <v>242251</v>
      </c>
      <c r="B695" s="7" t="s">
        <v>3</v>
      </c>
      <c r="C695" s="3" t="str">
        <f>VLOOKUP(B695,'Accounts chart'!$A:$B,2,FALSE)</f>
        <v>ธนาคารกสิกรไทย SA-040-1-56500-0</v>
      </c>
      <c r="D695" t="s">
        <v>759</v>
      </c>
      <c r="E695" t="s">
        <v>685</v>
      </c>
      <c r="F695" t="s">
        <v>287</v>
      </c>
      <c r="G695" t="str">
        <f>VLOOKUP(F695,รายชื่อลูกบ้าน!$A:$B,2,FALSE)</f>
        <v>คุณพวงพุฒ คาร์เตอร์</v>
      </c>
      <c r="H695" t="s">
        <v>701</v>
      </c>
      <c r="I695" s="23">
        <v>1801.13</v>
      </c>
    </row>
    <row r="696" spans="1:10">
      <c r="A696" s="2">
        <v>242251</v>
      </c>
      <c r="B696" s="7" t="s">
        <v>34</v>
      </c>
      <c r="C696" s="3" t="str">
        <f>VLOOKUP(B696,'Accounts chart'!$A:$B,2,FALSE)</f>
        <v>รายรับค่าส่วนกลาง</v>
      </c>
      <c r="D696" t="s">
        <v>759</v>
      </c>
      <c r="E696" t="s">
        <v>683</v>
      </c>
      <c r="F696" t="s">
        <v>121</v>
      </c>
      <c r="G696" t="str">
        <f>VLOOKUP(F696,รายชื่อลูกบ้าน!$A:$B,2,FALSE)</f>
        <v>คุณสถิตย์ ปาระพิมพ์</v>
      </c>
      <c r="H696" t="s">
        <v>424</v>
      </c>
      <c r="J696" s="23">
        <v>600</v>
      </c>
    </row>
    <row r="697" spans="1:10">
      <c r="A697" s="2">
        <v>242251</v>
      </c>
      <c r="B697" s="7" t="s">
        <v>34</v>
      </c>
      <c r="C697" s="3" t="str">
        <f>VLOOKUP(B697,'Accounts chart'!$A:$B,2,FALSE)</f>
        <v>รายรับค่าส่วนกลาง</v>
      </c>
      <c r="D697" t="s">
        <v>759</v>
      </c>
      <c r="E697" t="s">
        <v>684</v>
      </c>
      <c r="F697" t="s">
        <v>162</v>
      </c>
      <c r="G697" t="str">
        <f>VLOOKUP(F697,รายชื่อลูกบ้าน!$A:$B,2,FALSE)</f>
        <v>คุณศริตวรรธน์ ศรีวัฒนวรกุล</v>
      </c>
      <c r="H697" t="s">
        <v>700</v>
      </c>
      <c r="J697" s="23">
        <v>1200</v>
      </c>
    </row>
    <row r="698" spans="1:10">
      <c r="A698" s="2">
        <v>242251</v>
      </c>
      <c r="B698" s="7" t="s">
        <v>34</v>
      </c>
      <c r="C698" s="3" t="str">
        <f>VLOOKUP(B698,'Accounts chart'!$A:$B,2,FALSE)</f>
        <v>รายรับค่าส่วนกลาง</v>
      </c>
      <c r="D698" t="s">
        <v>759</v>
      </c>
      <c r="E698" t="s">
        <v>685</v>
      </c>
      <c r="F698" t="s">
        <v>287</v>
      </c>
      <c r="G698" t="str">
        <f>VLOOKUP(F698,รายชื่อลูกบ้าน!$A:$B,2,FALSE)</f>
        <v>คุณพวงพุฒ คาร์เตอร์</v>
      </c>
      <c r="H698" t="s">
        <v>701</v>
      </c>
      <c r="J698" s="23">
        <v>1801.13</v>
      </c>
    </row>
    <row r="699" spans="1:10">
      <c r="A699" s="2"/>
      <c r="C699" s="3"/>
    </row>
    <row r="700" spans="1:10">
      <c r="A700" s="2">
        <v>242252</v>
      </c>
      <c r="B700" s="7" t="s">
        <v>3</v>
      </c>
      <c r="C700" s="3" t="str">
        <f>VLOOKUP(B700,'Accounts chart'!$A:$B,2,FALSE)</f>
        <v>ธนาคารกสิกรไทย SA-040-1-56500-0</v>
      </c>
      <c r="D700" t="s">
        <v>760</v>
      </c>
      <c r="E700" t="s">
        <v>686</v>
      </c>
      <c r="F700" t="s">
        <v>374</v>
      </c>
      <c r="G700" t="str">
        <f>VLOOKUP(F700,รายชื่อลูกบ้าน!$A:$B,2,FALSE)</f>
        <v>คุณเกียรติภูมิ วิรติภูมิ</v>
      </c>
      <c r="H700" t="s">
        <v>665</v>
      </c>
      <c r="I700" s="23">
        <v>600.9</v>
      </c>
    </row>
    <row r="701" spans="1:10">
      <c r="A701" s="2">
        <v>242252</v>
      </c>
      <c r="B701" s="7" t="s">
        <v>3</v>
      </c>
      <c r="C701" s="3" t="str">
        <f>VLOOKUP(B701,'Accounts chart'!$A:$B,2,FALSE)</f>
        <v>ธนาคารกสิกรไทย SA-040-1-56500-0</v>
      </c>
      <c r="D701" t="s">
        <v>760</v>
      </c>
      <c r="E701" t="s">
        <v>687</v>
      </c>
      <c r="F701" t="s">
        <v>354</v>
      </c>
      <c r="G701" t="str">
        <f>VLOOKUP(F701,รายชื่อลูกบ้าน!$A:$B,2,FALSE)</f>
        <v>คุณสุรัตน์ พันธุ์แย้มมาลี</v>
      </c>
      <c r="H701" t="s">
        <v>424</v>
      </c>
      <c r="I701" s="23">
        <v>600</v>
      </c>
    </row>
    <row r="702" spans="1:10">
      <c r="A702" s="2">
        <v>242252</v>
      </c>
      <c r="B702" s="7" t="s">
        <v>34</v>
      </c>
      <c r="C702" s="3" t="str">
        <f>VLOOKUP(B702,'Accounts chart'!$A:$B,2,FALSE)</f>
        <v>รายรับค่าส่วนกลาง</v>
      </c>
      <c r="D702" t="s">
        <v>760</v>
      </c>
      <c r="E702" t="s">
        <v>686</v>
      </c>
      <c r="F702" t="s">
        <v>374</v>
      </c>
      <c r="G702" t="str">
        <f>VLOOKUP(F702,รายชื่อลูกบ้าน!$A:$B,2,FALSE)</f>
        <v>คุณเกียรติภูมิ วิรติภูมิ</v>
      </c>
      <c r="H702" t="s">
        <v>665</v>
      </c>
      <c r="J702" s="23">
        <v>600.9</v>
      </c>
    </row>
    <row r="703" spans="1:10">
      <c r="A703" s="2">
        <v>242252</v>
      </c>
      <c r="B703" s="7" t="s">
        <v>34</v>
      </c>
      <c r="C703" s="3" t="str">
        <f>VLOOKUP(B703,'Accounts chart'!$A:$B,2,FALSE)</f>
        <v>รายรับค่าส่วนกลาง</v>
      </c>
      <c r="D703" t="s">
        <v>760</v>
      </c>
      <c r="E703" t="s">
        <v>687</v>
      </c>
      <c r="F703" t="s">
        <v>354</v>
      </c>
      <c r="G703" t="str">
        <f>VLOOKUP(F703,รายชื่อลูกบ้าน!$A:$B,2,FALSE)</f>
        <v>คุณสุรัตน์ พันธุ์แย้มมาลี</v>
      </c>
      <c r="H703" t="s">
        <v>424</v>
      </c>
      <c r="J703" s="23">
        <v>600</v>
      </c>
    </row>
    <row r="704" spans="1:10">
      <c r="A704" s="2"/>
      <c r="C704" s="3"/>
    </row>
    <row r="705" spans="1:10">
      <c r="A705" s="2">
        <v>242253</v>
      </c>
      <c r="B705" s="7" t="s">
        <v>3</v>
      </c>
      <c r="C705" s="3" t="str">
        <f>VLOOKUP(B705,'Accounts chart'!$A:$B,2,FALSE)</f>
        <v>ธนาคารกสิกรไทย SA-040-1-56500-0</v>
      </c>
      <c r="D705" t="s">
        <v>761</v>
      </c>
      <c r="E705" t="s">
        <v>688</v>
      </c>
      <c r="F705" t="s">
        <v>360</v>
      </c>
      <c r="G705" t="str">
        <f>VLOOKUP(F705,รายชื่อลูกบ้าน!$A:$B,2,FALSE)</f>
        <v>คุณวิษา มีมาก</v>
      </c>
      <c r="H705" t="s">
        <v>665</v>
      </c>
      <c r="I705" s="23">
        <v>600</v>
      </c>
    </row>
    <row r="706" spans="1:10">
      <c r="A706" s="2">
        <v>242253</v>
      </c>
      <c r="B706" s="7" t="s">
        <v>3</v>
      </c>
      <c r="C706" s="3" t="str">
        <f>VLOOKUP(B706,'Accounts chart'!$A:$B,2,FALSE)</f>
        <v>ธนาคารกสิกรไทย SA-040-1-56500-0</v>
      </c>
      <c r="D706" t="s">
        <v>761</v>
      </c>
      <c r="E706" t="s">
        <v>689</v>
      </c>
      <c r="F706" t="s">
        <v>117</v>
      </c>
      <c r="G706" t="str">
        <f>VLOOKUP(F706,รายชื่อลูกบ้าน!$A:$B,2,FALSE)</f>
        <v>คุณธนัญกรณ์ ทาสระคู</v>
      </c>
      <c r="H706" t="s">
        <v>424</v>
      </c>
      <c r="I706" s="23">
        <v>600</v>
      </c>
    </row>
    <row r="707" spans="1:10">
      <c r="A707" s="2">
        <v>242253</v>
      </c>
      <c r="B707" s="7" t="s">
        <v>34</v>
      </c>
      <c r="C707" s="3" t="str">
        <f>VLOOKUP(B707,'Accounts chart'!$A:$B,2,FALSE)</f>
        <v>รายรับค่าส่วนกลาง</v>
      </c>
      <c r="D707" t="s">
        <v>761</v>
      </c>
      <c r="E707" t="s">
        <v>688</v>
      </c>
      <c r="F707" t="s">
        <v>360</v>
      </c>
      <c r="G707" t="str">
        <f>VLOOKUP(F707,รายชื่อลูกบ้าน!$A:$B,2,FALSE)</f>
        <v>คุณวิษา มีมาก</v>
      </c>
      <c r="H707" t="s">
        <v>665</v>
      </c>
      <c r="J707" s="23">
        <v>600</v>
      </c>
    </row>
    <row r="708" spans="1:10">
      <c r="A708" s="2">
        <v>242253</v>
      </c>
      <c r="B708" s="7" t="s">
        <v>34</v>
      </c>
      <c r="C708" s="3" t="str">
        <f>VLOOKUP(B708,'Accounts chart'!$A:$B,2,FALSE)</f>
        <v>รายรับค่าส่วนกลาง</v>
      </c>
      <c r="D708" t="s">
        <v>761</v>
      </c>
      <c r="E708" t="s">
        <v>689</v>
      </c>
      <c r="F708" t="s">
        <v>117</v>
      </c>
      <c r="G708" t="str">
        <f>VLOOKUP(F708,รายชื่อลูกบ้าน!$A:$B,2,FALSE)</f>
        <v>คุณธนัญกรณ์ ทาสระคู</v>
      </c>
      <c r="H708" t="s">
        <v>424</v>
      </c>
      <c r="J708" s="23">
        <v>600</v>
      </c>
    </row>
    <row r="709" spans="1:10">
      <c r="A709" s="2"/>
      <c r="C709" s="3"/>
    </row>
    <row r="710" spans="1:10">
      <c r="A710" s="2">
        <v>242254</v>
      </c>
      <c r="B710" s="7" t="s">
        <v>3</v>
      </c>
      <c r="C710" s="3" t="str">
        <f>VLOOKUP(B710,'Accounts chart'!$A:$B,2,FALSE)</f>
        <v>ธนาคารกสิกรไทย SA-040-1-56500-0</v>
      </c>
      <c r="D710" t="s">
        <v>762</v>
      </c>
      <c r="E710" t="s">
        <v>690</v>
      </c>
      <c r="F710" t="s">
        <v>311</v>
      </c>
      <c r="G710" t="str">
        <f>VLOOKUP(F710,รายชื่อลูกบ้าน!$A:$B,2,FALSE)</f>
        <v>คุณปิยณัฐ ปัญญาสวัสดิ์</v>
      </c>
      <c r="H710" t="s">
        <v>665</v>
      </c>
      <c r="I710" s="23">
        <v>600</v>
      </c>
    </row>
    <row r="711" spans="1:10">
      <c r="A711" s="2">
        <v>242254</v>
      </c>
      <c r="B711" s="7" t="s">
        <v>3</v>
      </c>
      <c r="C711" s="3" t="str">
        <f>VLOOKUP(B711,'Accounts chart'!$A:$B,2,FALSE)</f>
        <v>ธนาคารกสิกรไทย SA-040-1-56500-0</v>
      </c>
      <c r="D711" t="s">
        <v>762</v>
      </c>
      <c r="E711" t="s">
        <v>691</v>
      </c>
      <c r="F711" t="s">
        <v>307</v>
      </c>
      <c r="G711" t="str">
        <f>VLOOKUP(F711,รายชื่อลูกบ้าน!$A:$B,2,FALSE)</f>
        <v>คุณสุริยา บุญเจริญ</v>
      </c>
      <c r="H711" t="s">
        <v>702</v>
      </c>
      <c r="I711" s="23">
        <v>1800</v>
      </c>
    </row>
    <row r="712" spans="1:10">
      <c r="A712" s="2">
        <v>242254</v>
      </c>
      <c r="B712" s="7" t="s">
        <v>34</v>
      </c>
      <c r="C712" s="3" t="str">
        <f>VLOOKUP(B712,'Accounts chart'!$A:$B,2,FALSE)</f>
        <v>รายรับค่าส่วนกลาง</v>
      </c>
      <c r="D712" t="s">
        <v>762</v>
      </c>
      <c r="E712" t="s">
        <v>690</v>
      </c>
      <c r="F712" t="s">
        <v>311</v>
      </c>
      <c r="G712" t="str">
        <f>VLOOKUP(F712,รายชื่อลูกบ้าน!$A:$B,2,FALSE)</f>
        <v>คุณปิยณัฐ ปัญญาสวัสดิ์</v>
      </c>
      <c r="H712" t="s">
        <v>665</v>
      </c>
      <c r="J712" s="23">
        <v>600</v>
      </c>
    </row>
    <row r="713" spans="1:10">
      <c r="A713" s="2">
        <v>242254</v>
      </c>
      <c r="B713" s="7" t="s">
        <v>34</v>
      </c>
      <c r="C713" s="3" t="str">
        <f>VLOOKUP(B713,'Accounts chart'!$A:$B,2,FALSE)</f>
        <v>รายรับค่าส่วนกลาง</v>
      </c>
      <c r="D713" t="s">
        <v>762</v>
      </c>
      <c r="E713" t="s">
        <v>691</v>
      </c>
      <c r="F713" t="s">
        <v>307</v>
      </c>
      <c r="G713" t="str">
        <f>VLOOKUP(F713,รายชื่อลูกบ้าน!$A:$B,2,FALSE)</f>
        <v>คุณสุริยา บุญเจริญ</v>
      </c>
      <c r="H713" t="s">
        <v>702</v>
      </c>
      <c r="J713" s="23">
        <v>1800</v>
      </c>
    </row>
    <row r="714" spans="1:10">
      <c r="A714" s="2"/>
      <c r="C714" s="3"/>
    </row>
    <row r="715" spans="1:10">
      <c r="A715" s="2">
        <v>242255</v>
      </c>
      <c r="B715" s="7" t="s">
        <v>3</v>
      </c>
      <c r="C715" s="3" t="str">
        <f>VLOOKUP(B715,'Accounts chart'!$A:$B,2,FALSE)</f>
        <v>ธนาคารกสิกรไทย SA-040-1-56500-0</v>
      </c>
      <c r="D715" t="s">
        <v>763</v>
      </c>
      <c r="E715" t="s">
        <v>692</v>
      </c>
      <c r="F715" t="s">
        <v>118</v>
      </c>
      <c r="G715" t="str">
        <f>VLOOKUP(F715,รายชื่อลูกบ้าน!$A:$B,2,FALSE)</f>
        <v>คุณด้ามพรรณ ตั้งทองจิตร-คุณศราวุธ ฑพธาภิรมย์</v>
      </c>
      <c r="H715" t="s">
        <v>703</v>
      </c>
      <c r="I715" s="23">
        <v>1200</v>
      </c>
    </row>
    <row r="716" spans="1:10">
      <c r="A716" s="2">
        <v>242255</v>
      </c>
      <c r="B716" s="7" t="s">
        <v>3</v>
      </c>
      <c r="C716" s="3" t="str">
        <f>VLOOKUP(B716,'Accounts chart'!$A:$B,2,FALSE)</f>
        <v>ธนาคารกสิกรไทย SA-040-1-56500-0</v>
      </c>
      <c r="D716" t="s">
        <v>763</v>
      </c>
      <c r="E716" t="s">
        <v>693</v>
      </c>
      <c r="F716" t="s">
        <v>132</v>
      </c>
      <c r="G716" t="str">
        <f>VLOOKUP(F716,รายชื่อลูกบ้าน!$A:$B,2,FALSE)</f>
        <v>คุณสมหมาย เงินสมบัติ</v>
      </c>
      <c r="H716" t="s">
        <v>424</v>
      </c>
      <c r="I716" s="23">
        <v>600</v>
      </c>
    </row>
    <row r="717" spans="1:10">
      <c r="A717" s="2">
        <v>242255</v>
      </c>
      <c r="B717" s="7" t="s">
        <v>34</v>
      </c>
      <c r="C717" s="3" t="str">
        <f>VLOOKUP(B717,'Accounts chart'!$A:$B,2,FALSE)</f>
        <v>รายรับค่าส่วนกลาง</v>
      </c>
      <c r="D717" t="s">
        <v>763</v>
      </c>
      <c r="E717" t="s">
        <v>692</v>
      </c>
      <c r="F717" t="s">
        <v>118</v>
      </c>
      <c r="G717" t="str">
        <f>VLOOKUP(F717,รายชื่อลูกบ้าน!$A:$B,2,FALSE)</f>
        <v>คุณด้ามพรรณ ตั้งทองจิตร-คุณศราวุธ ฑพธาภิรมย์</v>
      </c>
      <c r="H717" t="s">
        <v>703</v>
      </c>
      <c r="J717" s="23">
        <v>1200</v>
      </c>
    </row>
    <row r="718" spans="1:10">
      <c r="A718" s="2">
        <v>242255</v>
      </c>
      <c r="B718" s="7" t="s">
        <v>34</v>
      </c>
      <c r="C718" s="3" t="str">
        <f>VLOOKUP(B718,'Accounts chart'!$A:$B,2,FALSE)</f>
        <v>รายรับค่าส่วนกลาง</v>
      </c>
      <c r="D718" t="s">
        <v>763</v>
      </c>
      <c r="E718" t="s">
        <v>693</v>
      </c>
      <c r="F718" t="s">
        <v>132</v>
      </c>
      <c r="G718" t="str">
        <f>VLOOKUP(F718,รายชื่อลูกบ้าน!$A:$B,2,FALSE)</f>
        <v>คุณสมหมาย เงินสมบัติ</v>
      </c>
      <c r="H718" t="s">
        <v>424</v>
      </c>
      <c r="J718" s="23">
        <v>600</v>
      </c>
    </row>
    <row r="719" spans="1:10">
      <c r="A719" s="2"/>
      <c r="C719" s="3"/>
    </row>
    <row r="720" spans="1:10">
      <c r="A720" s="2">
        <v>242256</v>
      </c>
      <c r="B720" s="7" t="s">
        <v>3</v>
      </c>
      <c r="C720" s="3" t="str">
        <f>VLOOKUP(B720,'Accounts chart'!$A:$B,2,FALSE)</f>
        <v>ธนาคารกสิกรไทย SA-040-1-56500-0</v>
      </c>
      <c r="D720" t="s">
        <v>764</v>
      </c>
      <c r="E720" t="s">
        <v>694</v>
      </c>
      <c r="F720" t="s">
        <v>223</v>
      </c>
      <c r="G720" t="str">
        <f>VLOOKUP(F720,รายชื่อลูกบ้าน!$A:$B,2,FALSE)</f>
        <v>คุณสุจิตรา เนินคีริ</v>
      </c>
      <c r="H720" t="s">
        <v>424</v>
      </c>
      <c r="I720" s="23">
        <v>600</v>
      </c>
    </row>
    <row r="721" spans="1:10">
      <c r="A721" s="2">
        <v>242256</v>
      </c>
      <c r="B721" s="7" t="s">
        <v>34</v>
      </c>
      <c r="C721" s="3" t="str">
        <f>VLOOKUP(B721,'Accounts chart'!$A:$B,2,FALSE)</f>
        <v>รายรับค่าส่วนกลาง</v>
      </c>
      <c r="D721" t="s">
        <v>764</v>
      </c>
      <c r="E721" t="s">
        <v>694</v>
      </c>
      <c r="F721" t="s">
        <v>223</v>
      </c>
      <c r="G721" t="str">
        <f>VLOOKUP(F721,รายชื่อลูกบ้าน!$A:$B,2,FALSE)</f>
        <v>คุณสุจิตรา เนินคีริ</v>
      </c>
      <c r="H721" t="s">
        <v>424</v>
      </c>
      <c r="J721" s="23">
        <v>600</v>
      </c>
    </row>
    <row r="722" spans="1:10">
      <c r="A722" s="2"/>
      <c r="C722" s="3"/>
    </row>
    <row r="723" spans="1:10">
      <c r="A723" s="2">
        <v>242257</v>
      </c>
      <c r="B723" s="7" t="s">
        <v>3</v>
      </c>
      <c r="C723" s="3" t="str">
        <f>VLOOKUP(B723,'Accounts chart'!$A:$B,2,FALSE)</f>
        <v>ธนาคารกสิกรไทย SA-040-1-56500-0</v>
      </c>
      <c r="D723" t="s">
        <v>765</v>
      </c>
      <c r="E723" t="s">
        <v>695</v>
      </c>
      <c r="F723" t="s">
        <v>159</v>
      </c>
      <c r="G723" t="str">
        <f>VLOOKUP(F723,รายชื่อลูกบ้าน!$A:$B,2,FALSE)</f>
        <v>คุณอดุลย์ แก้วอำไพ</v>
      </c>
      <c r="H723" t="s">
        <v>665</v>
      </c>
      <c r="I723" s="23">
        <v>600</v>
      </c>
    </row>
    <row r="724" spans="1:10">
      <c r="A724" s="2">
        <v>242257</v>
      </c>
      <c r="B724" s="7" t="s">
        <v>3</v>
      </c>
      <c r="C724" s="3" t="str">
        <f>VLOOKUP(B724,'Accounts chart'!$A:$B,2,FALSE)</f>
        <v>ธนาคารกสิกรไทย SA-040-1-56500-0</v>
      </c>
      <c r="D724" t="s">
        <v>765</v>
      </c>
      <c r="E724" t="s">
        <v>696</v>
      </c>
      <c r="F724" t="s">
        <v>331</v>
      </c>
      <c r="G724" t="str">
        <f>VLOOKUP(F724,รายชื่อลูกบ้าน!$A:$B,2,FALSE)</f>
        <v>คุณวชิระ ช่างแก้ว</v>
      </c>
      <c r="H724" t="s">
        <v>665</v>
      </c>
      <c r="I724" s="23">
        <v>600</v>
      </c>
    </row>
    <row r="725" spans="1:10">
      <c r="A725" s="2">
        <v>242257</v>
      </c>
      <c r="B725" s="7" t="s">
        <v>3</v>
      </c>
      <c r="C725" s="3" t="str">
        <f>VLOOKUP(B725,'Accounts chart'!$A:$B,2,FALSE)</f>
        <v>ธนาคารกสิกรไทย SA-040-1-56500-0</v>
      </c>
      <c r="D725" t="s">
        <v>765</v>
      </c>
      <c r="E725" t="s">
        <v>697</v>
      </c>
      <c r="F725" t="s">
        <v>134</v>
      </c>
      <c r="G725" t="str">
        <f>VLOOKUP(F725,รายชื่อลูกบ้าน!$A:$B,2,FALSE)</f>
        <v>คุณอวยชัย ลีขสวัสดิ์</v>
      </c>
      <c r="H725" t="s">
        <v>704</v>
      </c>
      <c r="I725" s="23">
        <v>2400</v>
      </c>
    </row>
    <row r="726" spans="1:10">
      <c r="A726" s="2">
        <v>242257</v>
      </c>
      <c r="B726" s="7" t="s">
        <v>34</v>
      </c>
      <c r="C726" s="3" t="str">
        <f>VLOOKUP(B726,'Accounts chart'!$A:$B,2,FALSE)</f>
        <v>รายรับค่าส่วนกลาง</v>
      </c>
      <c r="D726" t="s">
        <v>765</v>
      </c>
      <c r="E726" t="s">
        <v>695</v>
      </c>
      <c r="F726" t="s">
        <v>159</v>
      </c>
      <c r="G726" t="str">
        <f>VLOOKUP(F726,รายชื่อลูกบ้าน!$A:$B,2,FALSE)</f>
        <v>คุณอดุลย์ แก้วอำไพ</v>
      </c>
      <c r="H726" t="s">
        <v>665</v>
      </c>
      <c r="J726" s="23">
        <v>600</v>
      </c>
    </row>
    <row r="727" spans="1:10">
      <c r="A727" s="2">
        <v>242257</v>
      </c>
      <c r="B727" s="7" t="s">
        <v>34</v>
      </c>
      <c r="C727" s="3" t="str">
        <f>VLOOKUP(B727,'Accounts chart'!$A:$B,2,FALSE)</f>
        <v>รายรับค่าส่วนกลาง</v>
      </c>
      <c r="D727" t="s">
        <v>765</v>
      </c>
      <c r="E727" t="s">
        <v>696</v>
      </c>
      <c r="F727" t="s">
        <v>331</v>
      </c>
      <c r="G727" t="str">
        <f>VLOOKUP(F727,รายชื่อลูกบ้าน!$A:$B,2,FALSE)</f>
        <v>คุณวชิระ ช่างแก้ว</v>
      </c>
      <c r="H727" t="s">
        <v>665</v>
      </c>
      <c r="J727" s="23">
        <v>600</v>
      </c>
    </row>
    <row r="728" spans="1:10">
      <c r="A728" s="2">
        <v>242257</v>
      </c>
      <c r="B728" s="7" t="s">
        <v>34</v>
      </c>
      <c r="C728" s="3" t="str">
        <f>VLOOKUP(B728,'Accounts chart'!$A:$B,2,FALSE)</f>
        <v>รายรับค่าส่วนกลาง</v>
      </c>
      <c r="D728" t="s">
        <v>765</v>
      </c>
      <c r="E728" t="s">
        <v>697</v>
      </c>
      <c r="F728" t="s">
        <v>134</v>
      </c>
      <c r="G728" t="str">
        <f>VLOOKUP(F728,รายชื่อลูกบ้าน!$A:$B,2,FALSE)</f>
        <v>คุณอวยชัย ลีขสวัสดิ์</v>
      </c>
      <c r="H728" t="s">
        <v>704</v>
      </c>
      <c r="J728" s="23">
        <v>2400</v>
      </c>
    </row>
    <row r="729" spans="1:10">
      <c r="A729" s="2"/>
      <c r="C729" s="3"/>
    </row>
    <row r="730" spans="1:10">
      <c r="A730" s="2"/>
      <c r="C730" s="3"/>
    </row>
    <row r="731" spans="1:10">
      <c r="A731" s="2">
        <v>242258</v>
      </c>
      <c r="B731" s="7" t="s">
        <v>16</v>
      </c>
      <c r="C731" s="3" t="str">
        <f>VLOOKUP(B731,'Accounts chart'!$A:$B,2,FALSE)</f>
        <v>ค่าบริการดูแลสระว่ายน้ำค้างจ่าย</v>
      </c>
      <c r="D731" s="7" t="s">
        <v>944</v>
      </c>
      <c r="G731" t="s">
        <v>775</v>
      </c>
      <c r="H731" t="s">
        <v>939</v>
      </c>
      <c r="I731" s="23">
        <v>7500</v>
      </c>
    </row>
    <row r="732" spans="1:10">
      <c r="A732" s="2">
        <v>242258</v>
      </c>
      <c r="B732" s="7" t="s">
        <v>2</v>
      </c>
      <c r="C732" s="3" t="str">
        <f>VLOOKUP(B732,'Accounts chart'!$A:$B,2,FALSE)</f>
        <v>ธนาคารกสิกรไทย CA-040-1-57563-4</v>
      </c>
      <c r="D732" s="7" t="s">
        <v>944</v>
      </c>
      <c r="G732" t="s">
        <v>775</v>
      </c>
      <c r="H732" t="s">
        <v>939</v>
      </c>
      <c r="J732" s="23">
        <v>7500</v>
      </c>
    </row>
    <row r="733" spans="1:10">
      <c r="A733" s="2"/>
      <c r="C733" s="3"/>
      <c r="D733" s="7"/>
    </row>
    <row r="734" spans="1:10">
      <c r="A734" s="2">
        <v>242258</v>
      </c>
      <c r="B734" s="7" t="s">
        <v>18</v>
      </c>
      <c r="C734" s="3" t="str">
        <f>VLOOKUP(B734,'Accounts chart'!$A:$B,2,FALSE)</f>
        <v>ค่ารักษาความปลอดภัยค้างจ่าย</v>
      </c>
      <c r="D734" s="7" t="s">
        <v>945</v>
      </c>
      <c r="G734" t="s">
        <v>377</v>
      </c>
      <c r="H734" t="s">
        <v>940</v>
      </c>
      <c r="I734" s="23">
        <v>38814.32</v>
      </c>
    </row>
    <row r="735" spans="1:10">
      <c r="A735" s="2">
        <v>242258</v>
      </c>
      <c r="B735" s="7" t="s">
        <v>2</v>
      </c>
      <c r="C735" s="3" t="str">
        <f>VLOOKUP(B735,'Accounts chart'!$A:$B,2,FALSE)</f>
        <v>ธนาคารกสิกรไทย CA-040-1-57563-4</v>
      </c>
      <c r="D735" s="7" t="s">
        <v>945</v>
      </c>
      <c r="G735" t="s">
        <v>377</v>
      </c>
      <c r="H735" t="s">
        <v>940</v>
      </c>
      <c r="J735" s="23">
        <v>38814.32</v>
      </c>
    </row>
    <row r="736" spans="1:10">
      <c r="A736" s="2"/>
      <c r="C736" s="3"/>
      <c r="D736" s="7"/>
    </row>
    <row r="737" spans="1:10">
      <c r="A737" s="2">
        <v>242258</v>
      </c>
      <c r="B737" s="7" t="s">
        <v>22</v>
      </c>
      <c r="C737" s="3" t="str">
        <f>VLOOKUP(B737,'Accounts chart'!$A:$B,2,FALSE)</f>
        <v>ค่าดูแลส่วนกลางค้างจ่าย</v>
      </c>
      <c r="D737" s="7" t="s">
        <v>946</v>
      </c>
      <c r="G737" t="s">
        <v>771</v>
      </c>
      <c r="H737" t="s">
        <v>941</v>
      </c>
      <c r="I737" s="23">
        <v>15000</v>
      </c>
    </row>
    <row r="738" spans="1:10">
      <c r="A738" s="2">
        <v>242258</v>
      </c>
      <c r="B738" s="7" t="s">
        <v>2</v>
      </c>
      <c r="C738" s="3" t="str">
        <f>VLOOKUP(B738,'Accounts chart'!$A:$B,2,FALSE)</f>
        <v>ธนาคารกสิกรไทย CA-040-1-57563-4</v>
      </c>
      <c r="D738" s="7" t="s">
        <v>946</v>
      </c>
      <c r="G738" t="s">
        <v>771</v>
      </c>
      <c r="H738" t="s">
        <v>941</v>
      </c>
      <c r="J738" s="23">
        <v>15000</v>
      </c>
    </row>
    <row r="739" spans="1:10">
      <c r="A739" s="2"/>
      <c r="C739" s="3"/>
      <c r="D739" s="7"/>
    </row>
    <row r="740" spans="1:10">
      <c r="A740" s="2">
        <v>242258</v>
      </c>
      <c r="B740" s="7" t="s">
        <v>14</v>
      </c>
      <c r="C740" s="3" t="str">
        <f>VLOOKUP(B740,'Accounts chart'!$A:$B,2,FALSE)</f>
        <v>ค่าเก็บขยะค้างจ่าย</v>
      </c>
      <c r="D740" s="7" t="s">
        <v>947</v>
      </c>
      <c r="G740" t="s">
        <v>943</v>
      </c>
      <c r="H740" t="s">
        <v>942</v>
      </c>
      <c r="I740" s="23">
        <v>3000</v>
      </c>
    </row>
    <row r="741" spans="1:10">
      <c r="A741" s="2">
        <v>242258</v>
      </c>
      <c r="B741" s="7" t="s">
        <v>2</v>
      </c>
      <c r="C741" s="3" t="str">
        <f>VLOOKUP(B741,'Accounts chart'!$A:$B,2,FALSE)</f>
        <v>ธนาคารกสิกรไทย CA-040-1-57563-4</v>
      </c>
      <c r="D741" s="7" t="s">
        <v>947</v>
      </c>
      <c r="G741" t="s">
        <v>943</v>
      </c>
      <c r="H741" t="s">
        <v>942</v>
      </c>
      <c r="J741" s="23">
        <v>3000</v>
      </c>
    </row>
    <row r="742" spans="1:10">
      <c r="A742" s="2"/>
      <c r="C742" s="3"/>
    </row>
    <row r="743" spans="1:10">
      <c r="A743" s="2">
        <v>242264</v>
      </c>
      <c r="B743" s="7" t="s">
        <v>3</v>
      </c>
      <c r="C743" s="3" t="str">
        <f>VLOOKUP(B743,'Accounts chart'!$A:$B,2,FALSE)</f>
        <v>ธนาคารกสิกรไทย SA-040-1-56500-0</v>
      </c>
      <c r="D743" t="s">
        <v>766</v>
      </c>
      <c r="E743" t="s">
        <v>698</v>
      </c>
      <c r="F743" t="s">
        <v>317</v>
      </c>
      <c r="G743" t="str">
        <f>VLOOKUP(F743,รายชื่อลูกบ้าน!$A:$B,2,FALSE)</f>
        <v>คุณจิระศักดิ์ จันทร์โท</v>
      </c>
      <c r="H743" t="s">
        <v>665</v>
      </c>
      <c r="I743" s="23">
        <v>600</v>
      </c>
    </row>
    <row r="744" spans="1:10">
      <c r="A744" s="2">
        <v>242264</v>
      </c>
      <c r="B744" s="7" t="s">
        <v>34</v>
      </c>
      <c r="C744" s="3" t="str">
        <f>VLOOKUP(B744,'Accounts chart'!$A:$B,2,FALSE)</f>
        <v>รายรับค่าส่วนกลาง</v>
      </c>
      <c r="D744" t="s">
        <v>766</v>
      </c>
      <c r="E744" t="s">
        <v>698</v>
      </c>
      <c r="F744" t="s">
        <v>317</v>
      </c>
      <c r="G744" t="str">
        <f>VLOOKUP(F744,รายชื่อลูกบ้าน!$A:$B,2,FALSE)</f>
        <v>คุณจิระศักดิ์ จันทร์โท</v>
      </c>
      <c r="H744" t="s">
        <v>665</v>
      </c>
      <c r="J744" s="23">
        <v>600</v>
      </c>
    </row>
    <row r="746" spans="1:10">
      <c r="A746" s="2">
        <v>242267</v>
      </c>
      <c r="B746" s="7" t="s">
        <v>3</v>
      </c>
      <c r="C746" s="3" t="str">
        <f>VLOOKUP(B746,'Accounts chart'!$A:$B,2,FALSE)</f>
        <v>ธนาคารกสิกรไทย SA-040-1-56500-0</v>
      </c>
      <c r="E746" t="s">
        <v>805</v>
      </c>
      <c r="F746" t="s">
        <v>195</v>
      </c>
      <c r="G746" t="str">
        <f>VLOOKUP(F746,รายชื่อลูกบ้าน!$A:$B,2,FALSE)</f>
        <v>คุณชานนท์ นนทรังษี</v>
      </c>
      <c r="H746" t="s">
        <v>665</v>
      </c>
      <c r="I746" s="23">
        <v>600</v>
      </c>
    </row>
    <row r="747" spans="1:10">
      <c r="A747" s="2">
        <v>242267</v>
      </c>
      <c r="B747" s="7" t="s">
        <v>34</v>
      </c>
      <c r="C747" s="3" t="str">
        <f>VLOOKUP(B747,'Accounts chart'!$A:$B,2,FALSE)</f>
        <v>รายรับค่าส่วนกลาง</v>
      </c>
      <c r="E747" t="s">
        <v>805</v>
      </c>
      <c r="F747" t="s">
        <v>195</v>
      </c>
      <c r="G747" t="str">
        <f>VLOOKUP(F747,รายชื่อลูกบ้าน!$A:$B,2,FALSE)</f>
        <v>คุณชานนท์ นนทรังษี</v>
      </c>
      <c r="H747" t="s">
        <v>665</v>
      </c>
      <c r="J747" s="23">
        <v>600</v>
      </c>
    </row>
    <row r="748" spans="1:10">
      <c r="A748" s="2"/>
      <c r="C748" s="3"/>
    </row>
    <row r="749" spans="1:10">
      <c r="A749" s="2">
        <v>242268</v>
      </c>
      <c r="B749" s="7" t="s">
        <v>3</v>
      </c>
      <c r="C749" s="3" t="str">
        <f>VLOOKUP(B749,'Accounts chart'!$A:$B,2,FALSE)</f>
        <v>ธนาคารกสิกรไทย SA-040-1-56500-0</v>
      </c>
      <c r="E749" t="s">
        <v>806</v>
      </c>
      <c r="F749" t="s">
        <v>260</v>
      </c>
      <c r="G749" t="str">
        <f>VLOOKUP(F749,รายชื่อลูกบ้าน!$A:$B,2,FALSE)</f>
        <v>คุณกัญพิสิษฐ์ ธนเกียรติชูโชติ</v>
      </c>
      <c r="H749" t="s">
        <v>703</v>
      </c>
      <c r="I749" s="23">
        <v>1200</v>
      </c>
    </row>
    <row r="750" spans="1:10">
      <c r="A750" s="2">
        <v>242268</v>
      </c>
      <c r="B750" s="7" t="s">
        <v>34</v>
      </c>
      <c r="C750" s="3" t="str">
        <f>VLOOKUP(B750,'Accounts chart'!$A:$B,2,FALSE)</f>
        <v>รายรับค่าส่วนกลาง</v>
      </c>
      <c r="E750" t="s">
        <v>806</v>
      </c>
      <c r="F750" t="s">
        <v>260</v>
      </c>
      <c r="G750" t="str">
        <f>VLOOKUP(F750,รายชื่อลูกบ้าน!$A:$B,2,FALSE)</f>
        <v>คุณกัญพิสิษฐ์ ธนเกียรติชูโชติ</v>
      </c>
      <c r="H750" t="s">
        <v>703</v>
      </c>
      <c r="J750" s="23">
        <v>1200</v>
      </c>
    </row>
    <row r="751" spans="1:10">
      <c r="A751" s="2"/>
      <c r="C751" s="3"/>
    </row>
    <row r="752" spans="1:10">
      <c r="A752" s="2">
        <v>242271</v>
      </c>
      <c r="B752" s="7" t="s">
        <v>3</v>
      </c>
      <c r="C752" s="3" t="str">
        <f>VLOOKUP(B752,'Accounts chart'!$A:$B,2,FALSE)</f>
        <v>ธนาคารกสิกรไทย SA-040-1-56500-0</v>
      </c>
      <c r="E752" t="s">
        <v>807</v>
      </c>
      <c r="F752" t="s">
        <v>182</v>
      </c>
      <c r="G752" t="str">
        <f>VLOOKUP(F752,รายชื่อลูกบ้าน!$A:$B,2,FALSE)</f>
        <v>คุณสิระพัชร์ หน่อแก้ว</v>
      </c>
      <c r="H752" t="s">
        <v>665</v>
      </c>
      <c r="I752" s="23">
        <v>600.53</v>
      </c>
    </row>
    <row r="753" spans="1:10">
      <c r="A753" s="2">
        <v>242271</v>
      </c>
      <c r="B753" s="7" t="s">
        <v>3</v>
      </c>
      <c r="C753" s="3" t="str">
        <f>VLOOKUP(B753,'Accounts chart'!$A:$B,2,FALSE)</f>
        <v>ธนาคารกสิกรไทย SA-040-1-56500-0</v>
      </c>
      <c r="E753" t="s">
        <v>808</v>
      </c>
      <c r="F753" t="s">
        <v>163</v>
      </c>
      <c r="G753" t="str">
        <f>VLOOKUP(F753,รายชื่อลูกบ้าน!$A:$B,2,FALSE)</f>
        <v>คุณสุภาภรณ์ ใจตั้ง</v>
      </c>
      <c r="H753" t="s">
        <v>835</v>
      </c>
      <c r="I753" s="23">
        <v>600</v>
      </c>
    </row>
    <row r="754" spans="1:10">
      <c r="A754" s="2">
        <v>242271</v>
      </c>
      <c r="B754" s="7" t="s">
        <v>3</v>
      </c>
      <c r="C754" s="3" t="str">
        <f>VLOOKUP(B754,'Accounts chart'!$A:$B,2,FALSE)</f>
        <v>ธนาคารกสิกรไทย SA-040-1-56500-0</v>
      </c>
      <c r="E754" t="s">
        <v>809</v>
      </c>
      <c r="F754" t="s">
        <v>241</v>
      </c>
      <c r="G754" t="str">
        <f>VLOOKUP(F754,รายชื่อลูกบ้าน!$A:$B,2,FALSE)</f>
        <v>คุณสุกิจ หมื่นยศ</v>
      </c>
      <c r="H754" t="s">
        <v>665</v>
      </c>
      <c r="I754" s="23">
        <v>600</v>
      </c>
    </row>
    <row r="755" spans="1:10">
      <c r="A755" s="2">
        <v>242271</v>
      </c>
      <c r="B755" s="7" t="s">
        <v>3</v>
      </c>
      <c r="C755" s="3" t="str">
        <f>VLOOKUP(B755,'Accounts chart'!$A:$B,2,FALSE)</f>
        <v>ธนาคารกสิกรไทย SA-040-1-56500-0</v>
      </c>
      <c r="E755" t="s">
        <v>810</v>
      </c>
      <c r="F755" t="s">
        <v>300</v>
      </c>
      <c r="G755" t="str">
        <f>VLOOKUP(F755,รายชื่อลูกบ้าน!$A:$B,2,FALSE)</f>
        <v>คุณเชาว์วัศ-คุณสุวภาพ เวชทัศน์</v>
      </c>
      <c r="H755" t="s">
        <v>424</v>
      </c>
      <c r="I755" s="23">
        <v>600</v>
      </c>
    </row>
    <row r="756" spans="1:10">
      <c r="A756" s="2">
        <v>242271</v>
      </c>
      <c r="B756" s="7" t="s">
        <v>3</v>
      </c>
      <c r="C756" s="3" t="str">
        <f>VLOOKUP(B756,'Accounts chart'!$A:$B,2,FALSE)</f>
        <v>ธนาคารกสิกรไทย SA-040-1-56500-0</v>
      </c>
      <c r="E756" t="s">
        <v>811</v>
      </c>
      <c r="F756" t="s">
        <v>251</v>
      </c>
      <c r="G756" t="str">
        <f>VLOOKUP(F756,รายชื่อลูกบ้าน!$A:$B,2,FALSE)</f>
        <v>คุณวิบูลย์ ฤทธิ์ทองพิทักษ์</v>
      </c>
      <c r="H756" t="s">
        <v>665</v>
      </c>
      <c r="I756" s="23">
        <v>600</v>
      </c>
    </row>
    <row r="757" spans="1:10">
      <c r="A757" s="2">
        <v>242271</v>
      </c>
      <c r="B757" s="7" t="s">
        <v>34</v>
      </c>
      <c r="C757" s="3" t="str">
        <f>VLOOKUP(B757,'Accounts chart'!$A:$B,2,FALSE)</f>
        <v>รายรับค่าส่วนกลาง</v>
      </c>
      <c r="E757" t="s">
        <v>807</v>
      </c>
      <c r="F757" t="s">
        <v>182</v>
      </c>
      <c r="G757" t="str">
        <f>VLOOKUP(F757,รายชื่อลูกบ้าน!$A:$B,2,FALSE)</f>
        <v>คุณสิระพัชร์ หน่อแก้ว</v>
      </c>
      <c r="H757" t="s">
        <v>665</v>
      </c>
      <c r="J757" s="23">
        <v>600.53</v>
      </c>
    </row>
    <row r="758" spans="1:10">
      <c r="A758" s="2">
        <v>242271</v>
      </c>
      <c r="B758" s="7" t="s">
        <v>34</v>
      </c>
      <c r="C758" s="3" t="str">
        <f>VLOOKUP(B758,'Accounts chart'!$A:$B,2,FALSE)</f>
        <v>รายรับค่าส่วนกลาง</v>
      </c>
      <c r="E758" t="s">
        <v>808</v>
      </c>
      <c r="F758" t="s">
        <v>163</v>
      </c>
      <c r="G758" t="str">
        <f>VLOOKUP(F758,รายชื่อลูกบ้าน!$A:$B,2,FALSE)</f>
        <v>คุณสุภาภรณ์ ใจตั้ง</v>
      </c>
      <c r="H758" t="s">
        <v>835</v>
      </c>
      <c r="J758" s="23">
        <v>600</v>
      </c>
    </row>
    <row r="759" spans="1:10">
      <c r="A759" s="2">
        <v>242271</v>
      </c>
      <c r="B759" s="7" t="s">
        <v>34</v>
      </c>
      <c r="C759" s="3" t="str">
        <f>VLOOKUP(B759,'Accounts chart'!$A:$B,2,FALSE)</f>
        <v>รายรับค่าส่วนกลาง</v>
      </c>
      <c r="E759" t="s">
        <v>809</v>
      </c>
      <c r="F759" t="s">
        <v>241</v>
      </c>
      <c r="G759" t="str">
        <f>VLOOKUP(F759,รายชื่อลูกบ้าน!$A:$B,2,FALSE)</f>
        <v>คุณสุกิจ หมื่นยศ</v>
      </c>
      <c r="H759" t="s">
        <v>665</v>
      </c>
      <c r="J759" s="23">
        <v>600</v>
      </c>
    </row>
    <row r="760" spans="1:10">
      <c r="A760" s="2">
        <v>242271</v>
      </c>
      <c r="B760" s="7" t="s">
        <v>34</v>
      </c>
      <c r="C760" s="3" t="str">
        <f>VLOOKUP(B760,'Accounts chart'!$A:$B,2,FALSE)</f>
        <v>รายรับค่าส่วนกลาง</v>
      </c>
      <c r="E760" t="s">
        <v>810</v>
      </c>
      <c r="F760" t="s">
        <v>300</v>
      </c>
      <c r="G760" t="str">
        <f>VLOOKUP(F760,รายชื่อลูกบ้าน!$A:$B,2,FALSE)</f>
        <v>คุณเชาว์วัศ-คุณสุวภาพ เวชทัศน์</v>
      </c>
      <c r="H760" t="s">
        <v>424</v>
      </c>
      <c r="J760" s="23">
        <v>600</v>
      </c>
    </row>
    <row r="761" spans="1:10">
      <c r="A761" s="2">
        <v>242271</v>
      </c>
      <c r="B761" s="7" t="s">
        <v>34</v>
      </c>
      <c r="C761" s="3" t="str">
        <f>VLOOKUP(B761,'Accounts chart'!$A:$B,2,FALSE)</f>
        <v>รายรับค่าส่วนกลาง</v>
      </c>
      <c r="E761" t="s">
        <v>811</v>
      </c>
      <c r="F761" t="s">
        <v>251</v>
      </c>
      <c r="G761" t="str">
        <f>VLOOKUP(F761,รายชื่อลูกบ้าน!$A:$B,2,FALSE)</f>
        <v>คุณวิบูลย์ ฤทธิ์ทองพิทักษ์</v>
      </c>
      <c r="H761" t="s">
        <v>665</v>
      </c>
      <c r="J761" s="23">
        <v>600</v>
      </c>
    </row>
    <row r="762" spans="1:10">
      <c r="A762" s="2"/>
      <c r="C762" s="3"/>
    </row>
    <row r="763" spans="1:10">
      <c r="A763" s="2">
        <v>242272</v>
      </c>
      <c r="B763" s="7" t="s">
        <v>3</v>
      </c>
      <c r="C763" s="3" t="str">
        <f>VLOOKUP(B763,'Accounts chart'!$A:$B,2,FALSE)</f>
        <v>ธนาคารกสิกรไทย SA-040-1-56500-0</v>
      </c>
      <c r="E763" t="s">
        <v>812</v>
      </c>
      <c r="F763" t="s">
        <v>267</v>
      </c>
      <c r="G763" t="str">
        <f>VLOOKUP(F763,รายชื่อลูกบ้าน!$A:$B,2,FALSE)</f>
        <v>คุณดนัย ฮาวต่อมแก้ว</v>
      </c>
      <c r="H763" t="s">
        <v>665</v>
      </c>
      <c r="I763" s="23">
        <v>600</v>
      </c>
    </row>
    <row r="764" spans="1:10">
      <c r="A764" s="2">
        <v>242272</v>
      </c>
      <c r="B764" s="7" t="s">
        <v>3</v>
      </c>
      <c r="C764" s="3" t="str">
        <f>VLOOKUP(B764,'Accounts chart'!$A:$B,2,FALSE)</f>
        <v>ธนาคารกสิกรไทย SA-040-1-56500-0</v>
      </c>
      <c r="E764" t="s">
        <v>813</v>
      </c>
      <c r="F764" t="s">
        <v>369</v>
      </c>
      <c r="G764" t="str">
        <f>VLOOKUP(F764,รายชื่อลูกบ้าน!$A:$B,2,FALSE)</f>
        <v>คุณชัชวาล ธัญญวรินทิพย์</v>
      </c>
      <c r="H764" t="s">
        <v>664</v>
      </c>
      <c r="I764" s="23">
        <v>7200.99</v>
      </c>
    </row>
    <row r="765" spans="1:10">
      <c r="A765" s="2">
        <v>242272</v>
      </c>
      <c r="B765" s="7" t="s">
        <v>34</v>
      </c>
      <c r="C765" s="3" t="str">
        <f>VLOOKUP(B765,'Accounts chart'!$A:$B,2,FALSE)</f>
        <v>รายรับค่าส่วนกลาง</v>
      </c>
      <c r="E765" t="s">
        <v>812</v>
      </c>
      <c r="F765" t="s">
        <v>267</v>
      </c>
      <c r="G765" t="str">
        <f>VLOOKUP(F765,รายชื่อลูกบ้าน!$A:$B,2,FALSE)</f>
        <v>คุณดนัย ฮาวต่อมแก้ว</v>
      </c>
      <c r="H765" t="s">
        <v>665</v>
      </c>
      <c r="J765" s="23">
        <v>600</v>
      </c>
    </row>
    <row r="766" spans="1:10">
      <c r="A766" s="2">
        <v>242272</v>
      </c>
      <c r="B766" s="7" t="s">
        <v>34</v>
      </c>
      <c r="C766" s="3" t="str">
        <f>VLOOKUP(B766,'Accounts chart'!$A:$B,2,FALSE)</f>
        <v>รายรับค่าส่วนกลาง</v>
      </c>
      <c r="E766" t="s">
        <v>813</v>
      </c>
      <c r="F766" t="s">
        <v>369</v>
      </c>
      <c r="G766" t="str">
        <f>VLOOKUP(F766,รายชื่อลูกบ้าน!$A:$B,2,FALSE)</f>
        <v>คุณชัชวาล ธัญญวรินทิพย์</v>
      </c>
      <c r="H766" t="s">
        <v>664</v>
      </c>
      <c r="J766" s="23">
        <v>7200.99</v>
      </c>
    </row>
    <row r="767" spans="1:10">
      <c r="A767" s="2"/>
      <c r="C767" s="3"/>
    </row>
    <row r="768" spans="1:10">
      <c r="A768" s="2">
        <v>242273</v>
      </c>
      <c r="B768" s="7" t="s">
        <v>3</v>
      </c>
      <c r="C768" s="3" t="str">
        <f>VLOOKUP(B768,'Accounts chart'!$A:$B,2,FALSE)</f>
        <v>ธนาคารกสิกรไทย SA-040-1-56500-0</v>
      </c>
      <c r="E768" t="s">
        <v>814</v>
      </c>
      <c r="F768" t="s">
        <v>319</v>
      </c>
      <c r="G768" t="str">
        <f>VLOOKUP(F768,รายชื่อลูกบ้าน!$A:$B,2,FALSE)</f>
        <v>คุณณัฐพงศ์ สุวรรณมณี</v>
      </c>
      <c r="H768" t="s">
        <v>665</v>
      </c>
      <c r="I768" s="23">
        <v>600</v>
      </c>
    </row>
    <row r="769" spans="1:10">
      <c r="A769" s="2">
        <v>242273</v>
      </c>
      <c r="B769" s="7" t="s">
        <v>3</v>
      </c>
      <c r="C769" s="3" t="str">
        <f>VLOOKUP(B769,'Accounts chart'!$A:$B,2,FALSE)</f>
        <v>ธนาคารกสิกรไทย SA-040-1-56500-0</v>
      </c>
      <c r="E769" t="s">
        <v>815</v>
      </c>
      <c r="F769" t="s">
        <v>173</v>
      </c>
      <c r="G769" t="str">
        <f>VLOOKUP(F769,รายชื่อลูกบ้าน!$A:$B,2,FALSE)</f>
        <v>คุณพิริยะ ทรัพย์เจริญ-คุณเยาวเรศ โกสุมพิทักษ์</v>
      </c>
      <c r="H769" t="s">
        <v>665</v>
      </c>
      <c r="I769" s="23">
        <v>600</v>
      </c>
    </row>
    <row r="770" spans="1:10">
      <c r="A770" s="2">
        <v>242273</v>
      </c>
      <c r="B770" s="7" t="s">
        <v>3</v>
      </c>
      <c r="C770" s="3" t="str">
        <f>VLOOKUP(B770,'Accounts chart'!$A:$B,2,FALSE)</f>
        <v>ธนาคารกสิกรไทย SA-040-1-56500-0</v>
      </c>
      <c r="E770" t="s">
        <v>816</v>
      </c>
      <c r="F770" t="s">
        <v>362</v>
      </c>
      <c r="G770" t="str">
        <f>VLOOKUP(F770,รายชื่อลูกบ้าน!$A:$B,2,FALSE)</f>
        <v>คุณพีรภัทร์ ศัสตราพฤกษ์</v>
      </c>
      <c r="H770" t="s">
        <v>665</v>
      </c>
      <c r="I770" s="23">
        <v>600</v>
      </c>
    </row>
    <row r="771" spans="1:10">
      <c r="A771" s="2">
        <v>242273</v>
      </c>
      <c r="B771" s="7" t="s">
        <v>3</v>
      </c>
      <c r="C771" s="3" t="str">
        <f>VLOOKUP(B771,'Accounts chart'!$A:$B,2,FALSE)</f>
        <v>ธนาคารกสิกรไทย SA-040-1-56500-0</v>
      </c>
      <c r="E771" t="s">
        <v>817</v>
      </c>
      <c r="F771" t="s">
        <v>304</v>
      </c>
      <c r="G771" t="str">
        <f>VLOOKUP(F771,รายชื่อลูกบ้าน!$A:$B,2,FALSE)</f>
        <v>คุณกฤษณะ ฤทธิ์โพธิ์</v>
      </c>
      <c r="H771" t="s">
        <v>424</v>
      </c>
      <c r="I771" s="23">
        <v>600</v>
      </c>
    </row>
    <row r="772" spans="1:10">
      <c r="A772" s="2">
        <v>242273</v>
      </c>
      <c r="B772" s="7" t="s">
        <v>3</v>
      </c>
      <c r="C772" s="3" t="str">
        <f>VLOOKUP(B772,'Accounts chart'!$A:$B,2,FALSE)</f>
        <v>ธนาคารกสิกรไทย SA-040-1-56500-0</v>
      </c>
      <c r="E772" t="s">
        <v>818</v>
      </c>
      <c r="F772" t="s">
        <v>304</v>
      </c>
      <c r="G772" t="str">
        <f>VLOOKUP(F772,รายชื่อลูกบ้าน!$A:$B,2,FALSE)</f>
        <v>คุณกฤษณะ ฤทธิ์โพธิ์</v>
      </c>
      <c r="H772" t="s">
        <v>665</v>
      </c>
      <c r="I772" s="23">
        <v>600</v>
      </c>
    </row>
    <row r="773" spans="1:10">
      <c r="A773" s="2">
        <v>242273</v>
      </c>
      <c r="B773" s="7" t="s">
        <v>34</v>
      </c>
      <c r="C773" s="3" t="str">
        <f>VLOOKUP(B773,'Accounts chart'!$A:$B,2,FALSE)</f>
        <v>รายรับค่าส่วนกลาง</v>
      </c>
      <c r="E773" t="s">
        <v>814</v>
      </c>
      <c r="F773" t="s">
        <v>319</v>
      </c>
      <c r="G773" t="str">
        <f>VLOOKUP(F773,รายชื่อลูกบ้าน!$A:$B,2,FALSE)</f>
        <v>คุณณัฐพงศ์ สุวรรณมณี</v>
      </c>
      <c r="H773" t="s">
        <v>665</v>
      </c>
      <c r="J773" s="23">
        <v>600</v>
      </c>
    </row>
    <row r="774" spans="1:10">
      <c r="A774" s="2">
        <v>242273</v>
      </c>
      <c r="B774" s="7" t="s">
        <v>34</v>
      </c>
      <c r="C774" s="3" t="str">
        <f>VLOOKUP(B774,'Accounts chart'!$A:$B,2,FALSE)</f>
        <v>รายรับค่าส่วนกลาง</v>
      </c>
      <c r="E774" t="s">
        <v>815</v>
      </c>
      <c r="F774" t="s">
        <v>173</v>
      </c>
      <c r="G774" t="str">
        <f>VLOOKUP(F774,รายชื่อลูกบ้าน!$A:$B,2,FALSE)</f>
        <v>คุณพิริยะ ทรัพย์เจริญ-คุณเยาวเรศ โกสุมพิทักษ์</v>
      </c>
      <c r="H774" t="s">
        <v>665</v>
      </c>
      <c r="J774" s="23">
        <v>600</v>
      </c>
    </row>
    <row r="775" spans="1:10">
      <c r="A775" s="2">
        <v>242273</v>
      </c>
      <c r="B775" s="7" t="s">
        <v>34</v>
      </c>
      <c r="C775" s="3" t="str">
        <f>VLOOKUP(B775,'Accounts chart'!$A:$B,2,FALSE)</f>
        <v>รายรับค่าส่วนกลาง</v>
      </c>
      <c r="E775" t="s">
        <v>816</v>
      </c>
      <c r="F775" t="s">
        <v>362</v>
      </c>
      <c r="G775" t="str">
        <f>VLOOKUP(F775,รายชื่อลูกบ้าน!$A:$B,2,FALSE)</f>
        <v>คุณพีรภัทร์ ศัสตราพฤกษ์</v>
      </c>
      <c r="H775" t="s">
        <v>665</v>
      </c>
      <c r="J775" s="23">
        <v>600</v>
      </c>
    </row>
    <row r="776" spans="1:10">
      <c r="A776" s="2">
        <v>242273</v>
      </c>
      <c r="B776" s="7" t="s">
        <v>34</v>
      </c>
      <c r="C776" s="3" t="str">
        <f>VLOOKUP(B776,'Accounts chart'!$A:$B,2,FALSE)</f>
        <v>รายรับค่าส่วนกลาง</v>
      </c>
      <c r="E776" t="s">
        <v>817</v>
      </c>
      <c r="F776" t="s">
        <v>304</v>
      </c>
      <c r="G776" t="str">
        <f>VLOOKUP(F776,รายชื่อลูกบ้าน!$A:$B,2,FALSE)</f>
        <v>คุณกฤษณะ ฤทธิ์โพธิ์</v>
      </c>
      <c r="H776" t="s">
        <v>424</v>
      </c>
      <c r="J776" s="23">
        <v>600</v>
      </c>
    </row>
    <row r="777" spans="1:10">
      <c r="A777" s="2">
        <v>242273</v>
      </c>
      <c r="B777" s="7" t="s">
        <v>34</v>
      </c>
      <c r="C777" s="3" t="str">
        <f>VLOOKUP(B777,'Accounts chart'!$A:$B,2,FALSE)</f>
        <v>รายรับค่าส่วนกลาง</v>
      </c>
      <c r="E777" t="s">
        <v>818</v>
      </c>
      <c r="F777" t="s">
        <v>304</v>
      </c>
      <c r="G777" t="str">
        <f>VLOOKUP(F777,รายชื่อลูกบ้าน!$A:$B,2,FALSE)</f>
        <v>คุณกฤษณะ ฤทธิ์โพธิ์</v>
      </c>
      <c r="H777" t="s">
        <v>665</v>
      </c>
      <c r="J777" s="23">
        <v>600</v>
      </c>
    </row>
    <row r="778" spans="1:10">
      <c r="A778" s="2"/>
      <c r="C778" s="3"/>
    </row>
    <row r="779" spans="1:10">
      <c r="A779" s="2">
        <v>242275</v>
      </c>
      <c r="B779" s="7" t="s">
        <v>3</v>
      </c>
      <c r="C779" s="3" t="str">
        <f>VLOOKUP(B779,'Accounts chart'!$A:$B,2,FALSE)</f>
        <v>ธนาคารกสิกรไทย SA-040-1-56500-0</v>
      </c>
      <c r="E779" t="s">
        <v>819</v>
      </c>
      <c r="F779" t="s">
        <v>234</v>
      </c>
      <c r="G779" t="str">
        <f>VLOOKUP(F779,รายชื่อลูกบ้าน!$A:$B,2,FALSE)</f>
        <v>คุณประภัสสร บุญบันดล</v>
      </c>
      <c r="H779" t="s">
        <v>836</v>
      </c>
      <c r="I779" s="23">
        <v>3600</v>
      </c>
    </row>
    <row r="780" spans="1:10">
      <c r="A780" s="2">
        <v>242275</v>
      </c>
      <c r="B780" s="7" t="s">
        <v>3</v>
      </c>
      <c r="C780" s="3" t="str">
        <f>VLOOKUP(B780,'Accounts chart'!$A:$B,2,FALSE)</f>
        <v>ธนาคารกสิกรไทย SA-040-1-56500-0</v>
      </c>
      <c r="E780" t="s">
        <v>820</v>
      </c>
      <c r="F780" t="s">
        <v>143</v>
      </c>
      <c r="G780" t="str">
        <f>VLOOKUP(F780,รายชื่อลูกบ้าน!$A:$B,2,FALSE)</f>
        <v>คุณศิริพร นามวงษ์</v>
      </c>
      <c r="H780" t="s">
        <v>837</v>
      </c>
      <c r="I780" s="23">
        <v>1200</v>
      </c>
    </row>
    <row r="781" spans="1:10">
      <c r="A781" s="2">
        <v>242275</v>
      </c>
      <c r="B781" s="7" t="s">
        <v>3</v>
      </c>
      <c r="C781" s="3" t="str">
        <f>VLOOKUP(B781,'Accounts chart'!$A:$B,2,FALSE)</f>
        <v>ธนาคารกสิกรไทย SA-040-1-56500-0</v>
      </c>
      <c r="E781" t="s">
        <v>821</v>
      </c>
      <c r="F781" t="s">
        <v>209</v>
      </c>
      <c r="G781" t="str">
        <f>VLOOKUP(F781,รายชื่อลูกบ้าน!$A:$B,2,FALSE)</f>
        <v>คุณศักดา ไฮงาม</v>
      </c>
      <c r="H781" t="s">
        <v>661</v>
      </c>
      <c r="I781" s="23">
        <v>1200.69</v>
      </c>
    </row>
    <row r="782" spans="1:10">
      <c r="A782" s="25">
        <v>242275</v>
      </c>
      <c r="B782" s="26" t="s">
        <v>3</v>
      </c>
      <c r="C782" s="27" t="str">
        <f>VLOOKUP(B782,'Accounts chart'!$A:$B,2,FALSE)</f>
        <v>ธนาคารกสิกรไทย SA-040-1-56500-0</v>
      </c>
      <c r="D782" s="4"/>
      <c r="E782" s="4" t="s">
        <v>822</v>
      </c>
      <c r="F782" s="4" t="s">
        <v>834</v>
      </c>
      <c r="G782" s="4" t="e">
        <f>VLOOKUP(F782,รายชื่อลูกบ้าน!$A:$B,2,FALSE)</f>
        <v>#N/A</v>
      </c>
      <c r="H782" s="4" t="s">
        <v>834</v>
      </c>
      <c r="I782" s="28">
        <v>2400</v>
      </c>
      <c r="J782" s="28"/>
    </row>
    <row r="783" spans="1:10">
      <c r="A783" s="2">
        <v>242275</v>
      </c>
      <c r="B783" s="7" t="s">
        <v>34</v>
      </c>
      <c r="C783" s="3" t="str">
        <f>VLOOKUP(B783,'Accounts chart'!$A:$B,2,FALSE)</f>
        <v>รายรับค่าส่วนกลาง</v>
      </c>
      <c r="E783" t="s">
        <v>819</v>
      </c>
      <c r="F783" t="s">
        <v>234</v>
      </c>
      <c r="G783" t="str">
        <f>VLOOKUP(F783,รายชื่อลูกบ้าน!$A:$B,2,FALSE)</f>
        <v>คุณประภัสสร บุญบันดล</v>
      </c>
      <c r="H783" t="s">
        <v>836</v>
      </c>
      <c r="J783" s="23">
        <v>3600</v>
      </c>
    </row>
    <row r="784" spans="1:10">
      <c r="A784" s="2">
        <v>242275</v>
      </c>
      <c r="B784" s="7" t="s">
        <v>34</v>
      </c>
      <c r="C784" s="3" t="str">
        <f>VLOOKUP(B784,'Accounts chart'!$A:$B,2,FALSE)</f>
        <v>รายรับค่าส่วนกลาง</v>
      </c>
      <c r="E784" t="s">
        <v>820</v>
      </c>
      <c r="F784" t="s">
        <v>143</v>
      </c>
      <c r="G784" t="str">
        <f>VLOOKUP(F784,รายชื่อลูกบ้าน!$A:$B,2,FALSE)</f>
        <v>คุณศิริพร นามวงษ์</v>
      </c>
      <c r="H784" t="s">
        <v>837</v>
      </c>
      <c r="J784" s="23">
        <v>1200</v>
      </c>
    </row>
    <row r="785" spans="1:10">
      <c r="A785" s="2">
        <v>242275</v>
      </c>
      <c r="B785" s="7" t="s">
        <v>34</v>
      </c>
      <c r="C785" s="3" t="str">
        <f>VLOOKUP(B785,'Accounts chart'!$A:$B,2,FALSE)</f>
        <v>รายรับค่าส่วนกลาง</v>
      </c>
      <c r="E785" t="s">
        <v>821</v>
      </c>
      <c r="F785" t="s">
        <v>209</v>
      </c>
      <c r="G785" t="str">
        <f>VLOOKUP(F785,รายชื่อลูกบ้าน!$A:$B,2,FALSE)</f>
        <v>คุณศักดา ไฮงาม</v>
      </c>
      <c r="H785" t="s">
        <v>661</v>
      </c>
      <c r="J785" s="23">
        <v>1200.69</v>
      </c>
    </row>
    <row r="786" spans="1:10">
      <c r="A786" s="25">
        <v>242275</v>
      </c>
      <c r="B786" s="26" t="s">
        <v>26</v>
      </c>
      <c r="C786" s="27" t="str">
        <f>VLOOKUP(B786,'Accounts chart'!$A:$B,2,FALSE)</f>
        <v>รายได้ค่าส่วนกลางไม่ทราบชือ</v>
      </c>
      <c r="D786" s="4"/>
      <c r="E786" s="4" t="s">
        <v>822</v>
      </c>
      <c r="F786" s="4" t="s">
        <v>834</v>
      </c>
      <c r="G786" s="4" t="e">
        <f>VLOOKUP(F786,รายชื่อลูกบ้าน!$A:$B,2,FALSE)</f>
        <v>#N/A</v>
      </c>
      <c r="H786" s="4" t="s">
        <v>834</v>
      </c>
      <c r="I786" s="28"/>
      <c r="J786" s="28">
        <v>2400</v>
      </c>
    </row>
    <row r="787" spans="1:10">
      <c r="A787" s="2"/>
      <c r="C787" s="3"/>
    </row>
    <row r="788" spans="1:10">
      <c r="A788" s="2">
        <v>242276</v>
      </c>
      <c r="B788" s="7" t="s">
        <v>3</v>
      </c>
      <c r="C788" s="3" t="str">
        <f>VLOOKUP(B788,'Accounts chart'!$A:$B,2,FALSE)</f>
        <v>ธนาคารกสิกรไทย SA-040-1-56500-0</v>
      </c>
      <c r="E788" t="s">
        <v>823</v>
      </c>
      <c r="F788" t="s">
        <v>201</v>
      </c>
      <c r="G788" t="str">
        <f>VLOOKUP(F788,รายชื่อลูกบ้าน!$A:$B,2,FALSE)</f>
        <v>คุณณัฐธีร์ เลิศรัตน์วัฒนา</v>
      </c>
      <c r="H788" t="s">
        <v>665</v>
      </c>
      <c r="I788" s="23">
        <v>600</v>
      </c>
    </row>
    <row r="789" spans="1:10">
      <c r="A789" s="2">
        <v>242276</v>
      </c>
      <c r="B789" s="7" t="s">
        <v>3</v>
      </c>
      <c r="C789" s="3" t="str">
        <f>VLOOKUP(B789,'Accounts chart'!$A:$B,2,FALSE)</f>
        <v>ธนาคารกสิกรไทย SA-040-1-56500-0</v>
      </c>
      <c r="E789" t="s">
        <v>824</v>
      </c>
      <c r="F789" t="s">
        <v>233</v>
      </c>
      <c r="G789" t="str">
        <f>VLOOKUP(F789,รายชื่อลูกบ้าน!$A:$B,2,FALSE)</f>
        <v>คุณวิทยา วัดเข้าหลาม</v>
      </c>
      <c r="H789" t="s">
        <v>835</v>
      </c>
      <c r="I789" s="23">
        <v>600.80999999999995</v>
      </c>
    </row>
    <row r="790" spans="1:10">
      <c r="A790" s="2">
        <v>242276</v>
      </c>
      <c r="B790" s="7" t="s">
        <v>3</v>
      </c>
      <c r="C790" s="3" t="str">
        <f>VLOOKUP(B790,'Accounts chart'!$A:$B,2,FALSE)</f>
        <v>ธนาคารกสิกรไทย SA-040-1-56500-0</v>
      </c>
      <c r="E790" t="s">
        <v>825</v>
      </c>
      <c r="F790" t="s">
        <v>295</v>
      </c>
      <c r="G790" t="str">
        <f>VLOOKUP(F790,รายชื่อลูกบ้าน!$A:$B,2,FALSE)</f>
        <v>คุณภานุรังสิทธิ์-คุณภญาดา หมื่นจันทร์</v>
      </c>
      <c r="H790" t="s">
        <v>835</v>
      </c>
      <c r="I790" s="23">
        <v>600</v>
      </c>
    </row>
    <row r="791" spans="1:10">
      <c r="A791" s="2">
        <v>242276</v>
      </c>
      <c r="B791" s="7" t="s">
        <v>3</v>
      </c>
      <c r="C791" s="3" t="str">
        <f>VLOOKUP(B791,'Accounts chart'!$A:$B,2,FALSE)</f>
        <v>ธนาคารกสิกรไทย SA-040-1-56500-0</v>
      </c>
      <c r="E791" t="s">
        <v>826</v>
      </c>
      <c r="F791" t="s">
        <v>364</v>
      </c>
      <c r="G791" t="str">
        <f>VLOOKUP(F791,รายชื่อลูกบ้าน!$A:$B,2,FALSE)</f>
        <v>คุณกิตติ แสวงภาค</v>
      </c>
      <c r="H791" t="s">
        <v>835</v>
      </c>
      <c r="I791" s="23">
        <v>600</v>
      </c>
    </row>
    <row r="792" spans="1:10">
      <c r="A792" s="2">
        <v>242276</v>
      </c>
      <c r="B792" s="7" t="s">
        <v>34</v>
      </c>
      <c r="C792" s="3" t="str">
        <f>VLOOKUP(B792,'Accounts chart'!$A:$B,2,FALSE)</f>
        <v>รายรับค่าส่วนกลาง</v>
      </c>
      <c r="E792" t="s">
        <v>823</v>
      </c>
      <c r="F792" t="s">
        <v>201</v>
      </c>
      <c r="G792" t="str">
        <f>VLOOKUP(F792,รายชื่อลูกบ้าน!$A:$B,2,FALSE)</f>
        <v>คุณณัฐธีร์ เลิศรัตน์วัฒนา</v>
      </c>
      <c r="H792" t="s">
        <v>665</v>
      </c>
      <c r="J792" s="23">
        <v>600</v>
      </c>
    </row>
    <row r="793" spans="1:10">
      <c r="A793" s="2">
        <v>242276</v>
      </c>
      <c r="B793" s="7" t="s">
        <v>34</v>
      </c>
      <c r="C793" s="3" t="str">
        <f>VLOOKUP(B793,'Accounts chart'!$A:$B,2,FALSE)</f>
        <v>รายรับค่าส่วนกลาง</v>
      </c>
      <c r="E793" t="s">
        <v>824</v>
      </c>
      <c r="F793" t="s">
        <v>233</v>
      </c>
      <c r="G793" t="str">
        <f>VLOOKUP(F793,รายชื่อลูกบ้าน!$A:$B,2,FALSE)</f>
        <v>คุณวิทยา วัดเข้าหลาม</v>
      </c>
      <c r="H793" t="s">
        <v>835</v>
      </c>
      <c r="J793" s="23">
        <v>600.80999999999995</v>
      </c>
    </row>
    <row r="794" spans="1:10">
      <c r="A794" s="2">
        <v>242276</v>
      </c>
      <c r="B794" s="7" t="s">
        <v>34</v>
      </c>
      <c r="C794" s="3" t="str">
        <f>VLOOKUP(B794,'Accounts chart'!$A:$B,2,FALSE)</f>
        <v>รายรับค่าส่วนกลาง</v>
      </c>
      <c r="E794" t="s">
        <v>825</v>
      </c>
      <c r="F794" t="s">
        <v>295</v>
      </c>
      <c r="G794" t="str">
        <f>VLOOKUP(F794,รายชื่อลูกบ้าน!$A:$B,2,FALSE)</f>
        <v>คุณภานุรังสิทธิ์-คุณภญาดา หมื่นจันทร์</v>
      </c>
      <c r="H794" t="s">
        <v>835</v>
      </c>
      <c r="J794" s="23">
        <v>600</v>
      </c>
    </row>
    <row r="795" spans="1:10">
      <c r="A795" s="2">
        <v>242276</v>
      </c>
      <c r="B795" s="7" t="s">
        <v>34</v>
      </c>
      <c r="C795" s="3" t="str">
        <f>VLOOKUP(B795,'Accounts chart'!$A:$B,2,FALSE)</f>
        <v>รายรับค่าส่วนกลาง</v>
      </c>
      <c r="E795" t="s">
        <v>826</v>
      </c>
      <c r="F795" t="s">
        <v>364</v>
      </c>
      <c r="G795" t="str">
        <f>VLOOKUP(F795,รายชื่อลูกบ้าน!$A:$B,2,FALSE)</f>
        <v>คุณกิตติ แสวงภาค</v>
      </c>
      <c r="H795" t="s">
        <v>835</v>
      </c>
      <c r="J795" s="23">
        <v>600</v>
      </c>
    </row>
    <row r="796" spans="1:10">
      <c r="A796" s="2"/>
      <c r="C796" s="3"/>
    </row>
    <row r="797" spans="1:10">
      <c r="A797" s="2">
        <v>242277</v>
      </c>
      <c r="B797" s="7" t="s">
        <v>3</v>
      </c>
      <c r="C797" s="3" t="str">
        <f>VLOOKUP(B797,'Accounts chart'!$A:$B,2,FALSE)</f>
        <v>ธนาคารกสิกรไทย SA-040-1-56500-0</v>
      </c>
      <c r="E797" t="s">
        <v>827</v>
      </c>
      <c r="F797" t="s">
        <v>339</v>
      </c>
      <c r="G797" t="str">
        <f>VLOOKUP(F797,รายชื่อลูกบ้าน!$A:$B,2,FALSE)</f>
        <v>คุณภควัต สันหนองเมือง</v>
      </c>
      <c r="H797" t="s">
        <v>665</v>
      </c>
      <c r="I797" s="23">
        <v>600</v>
      </c>
    </row>
    <row r="798" spans="1:10">
      <c r="A798" s="2">
        <v>242277</v>
      </c>
      <c r="B798" s="7" t="s">
        <v>3</v>
      </c>
      <c r="C798" s="3" t="str">
        <f>VLOOKUP(B798,'Accounts chart'!$A:$B,2,FALSE)</f>
        <v>ธนาคารกสิกรไทย SA-040-1-56500-0</v>
      </c>
      <c r="E798" t="s">
        <v>828</v>
      </c>
      <c r="F798" t="s">
        <v>323</v>
      </c>
      <c r="G798" t="str">
        <f>VLOOKUP(F798,รายชื่อลูกบ้าน!$A:$B,2,FALSE)</f>
        <v>คุณเกียงไกร ไชยเดช</v>
      </c>
      <c r="H798" t="s">
        <v>665</v>
      </c>
      <c r="I798" s="23">
        <v>600</v>
      </c>
    </row>
    <row r="799" spans="1:10">
      <c r="A799" s="2">
        <v>242277</v>
      </c>
      <c r="B799" s="7" t="s">
        <v>3</v>
      </c>
      <c r="C799" s="3" t="str">
        <f>VLOOKUP(B799,'Accounts chart'!$A:$B,2,FALSE)</f>
        <v>ธนาคารกสิกรไทย SA-040-1-56500-0</v>
      </c>
      <c r="E799" t="s">
        <v>829</v>
      </c>
      <c r="F799" t="s">
        <v>185</v>
      </c>
      <c r="G799" t="str">
        <f>VLOOKUP(F799,รายชื่อลูกบ้าน!$A:$B,2,FALSE)</f>
        <v>คุณชาญชัย ตนะศุภผล</v>
      </c>
      <c r="H799" t="s">
        <v>835</v>
      </c>
      <c r="I799" s="23">
        <v>600.54999999999995</v>
      </c>
    </row>
    <row r="800" spans="1:10">
      <c r="A800" s="2">
        <v>242277</v>
      </c>
      <c r="B800" s="7" t="s">
        <v>3</v>
      </c>
      <c r="C800" s="3" t="str">
        <f>VLOOKUP(B800,'Accounts chart'!$A:$B,2,FALSE)</f>
        <v>ธนาคารกสิกรไทย SA-040-1-56500-0</v>
      </c>
      <c r="E800" t="s">
        <v>830</v>
      </c>
      <c r="F800" t="s">
        <v>72</v>
      </c>
      <c r="G800" t="str">
        <f>VLOOKUP(F800,รายชื่อลูกบ้าน!$A:$B,2,FALSE)</f>
        <v>คุณวรวุฒิ นาทอง</v>
      </c>
      <c r="H800" t="s">
        <v>665</v>
      </c>
      <c r="I800" s="23">
        <v>600</v>
      </c>
    </row>
    <row r="801" spans="1:10">
      <c r="A801" s="2">
        <v>242277</v>
      </c>
      <c r="B801" s="7" t="s">
        <v>3</v>
      </c>
      <c r="C801" s="3" t="str">
        <f>VLOOKUP(B801,'Accounts chart'!$A:$B,2,FALSE)</f>
        <v>ธนาคารกสิกรไทย SA-040-1-56500-0</v>
      </c>
      <c r="E801" t="s">
        <v>831</v>
      </c>
      <c r="F801" t="s">
        <v>101</v>
      </c>
      <c r="G801" t="str">
        <f>VLOOKUP(F801,รายชื่อลูกบ้าน!$A:$B,2,FALSE)</f>
        <v>คุณเฉลิมเกียรติ และนางนันริญา ราชนาจันทร์</v>
      </c>
      <c r="H801" t="s">
        <v>665</v>
      </c>
      <c r="I801" s="23">
        <v>600</v>
      </c>
    </row>
    <row r="802" spans="1:10">
      <c r="A802" s="2">
        <v>242277</v>
      </c>
      <c r="B802" s="7" t="s">
        <v>3</v>
      </c>
      <c r="C802" s="3" t="str">
        <f>VLOOKUP(B802,'Accounts chart'!$A:$B,2,FALSE)</f>
        <v>ธนาคารกสิกรไทย SA-040-1-56500-0</v>
      </c>
      <c r="E802" t="s">
        <v>832</v>
      </c>
      <c r="F802" t="s">
        <v>285</v>
      </c>
      <c r="G802" t="str">
        <f>VLOOKUP(F802,รายชื่อลูกบ้าน!$A:$B,2,FALSE)</f>
        <v>คุณประจักษ์ เนื่องละออ-คุณวนิดา เส็งนิสัย</v>
      </c>
      <c r="H802" t="s">
        <v>665</v>
      </c>
      <c r="I802" s="23">
        <v>600</v>
      </c>
    </row>
    <row r="803" spans="1:10">
      <c r="A803" s="2">
        <v>242277</v>
      </c>
      <c r="B803" s="7" t="s">
        <v>3</v>
      </c>
      <c r="C803" s="3" t="str">
        <f>VLOOKUP(B803,'Accounts chart'!$A:$B,2,FALSE)</f>
        <v>ธนาคารกสิกรไทย SA-040-1-56500-0</v>
      </c>
      <c r="E803" t="s">
        <v>833</v>
      </c>
      <c r="F803" t="s">
        <v>187</v>
      </c>
      <c r="G803" t="str">
        <f>VLOOKUP(F803,รายชื่อลูกบ้าน!$A:$B,2,FALSE)</f>
        <v>นายญัชพล ภู่ถาวร</v>
      </c>
      <c r="H803" t="s">
        <v>835</v>
      </c>
      <c r="I803" s="23">
        <v>600</v>
      </c>
    </row>
    <row r="804" spans="1:10">
      <c r="A804" s="2">
        <v>242277</v>
      </c>
      <c r="B804" s="7" t="s">
        <v>34</v>
      </c>
      <c r="C804" s="3" t="str">
        <f>VLOOKUP(B804,'Accounts chart'!$A:$B,2,FALSE)</f>
        <v>รายรับค่าส่วนกลาง</v>
      </c>
      <c r="E804" t="s">
        <v>827</v>
      </c>
      <c r="F804" t="s">
        <v>339</v>
      </c>
      <c r="G804" t="str">
        <f>VLOOKUP(F804,รายชื่อลูกบ้าน!$A:$B,2,FALSE)</f>
        <v>คุณภควัต สันหนองเมือง</v>
      </c>
      <c r="H804" t="s">
        <v>665</v>
      </c>
      <c r="J804" s="23">
        <v>600</v>
      </c>
    </row>
    <row r="805" spans="1:10">
      <c r="A805" s="2">
        <v>242277</v>
      </c>
      <c r="B805" s="7" t="s">
        <v>34</v>
      </c>
      <c r="C805" s="3" t="str">
        <f>VLOOKUP(B805,'Accounts chart'!$A:$B,2,FALSE)</f>
        <v>รายรับค่าส่วนกลาง</v>
      </c>
      <c r="E805" t="s">
        <v>828</v>
      </c>
      <c r="F805" t="s">
        <v>323</v>
      </c>
      <c r="G805" t="str">
        <f>VLOOKUP(F805,รายชื่อลูกบ้าน!$A:$B,2,FALSE)</f>
        <v>คุณเกียงไกร ไชยเดช</v>
      </c>
      <c r="H805" t="s">
        <v>665</v>
      </c>
      <c r="J805" s="23">
        <v>600</v>
      </c>
    </row>
    <row r="806" spans="1:10">
      <c r="A806" s="2">
        <v>242277</v>
      </c>
      <c r="B806" s="7" t="s">
        <v>34</v>
      </c>
      <c r="C806" s="3" t="str">
        <f>VLOOKUP(B806,'Accounts chart'!$A:$B,2,FALSE)</f>
        <v>รายรับค่าส่วนกลาง</v>
      </c>
      <c r="E806" t="s">
        <v>829</v>
      </c>
      <c r="F806" t="s">
        <v>185</v>
      </c>
      <c r="G806" t="str">
        <f>VLOOKUP(F806,รายชื่อลูกบ้าน!$A:$B,2,FALSE)</f>
        <v>คุณชาญชัย ตนะศุภผล</v>
      </c>
      <c r="H806" t="s">
        <v>835</v>
      </c>
      <c r="J806" s="23">
        <v>600.54999999999995</v>
      </c>
    </row>
    <row r="807" spans="1:10">
      <c r="A807" s="2">
        <v>242277</v>
      </c>
      <c r="B807" s="7" t="s">
        <v>34</v>
      </c>
      <c r="C807" s="3" t="str">
        <f>VLOOKUP(B807,'Accounts chart'!$A:$B,2,FALSE)</f>
        <v>รายรับค่าส่วนกลาง</v>
      </c>
      <c r="E807" t="s">
        <v>830</v>
      </c>
      <c r="F807" t="s">
        <v>72</v>
      </c>
      <c r="G807" t="str">
        <f>VLOOKUP(F807,รายชื่อลูกบ้าน!$A:$B,2,FALSE)</f>
        <v>คุณวรวุฒิ นาทอง</v>
      </c>
      <c r="H807" t="s">
        <v>665</v>
      </c>
      <c r="J807" s="23">
        <v>600</v>
      </c>
    </row>
    <row r="808" spans="1:10">
      <c r="A808" s="2">
        <v>242277</v>
      </c>
      <c r="B808" s="7" t="s">
        <v>34</v>
      </c>
      <c r="C808" s="3" t="str">
        <f>VLOOKUP(B808,'Accounts chart'!$A:$B,2,FALSE)</f>
        <v>รายรับค่าส่วนกลาง</v>
      </c>
      <c r="E808" t="s">
        <v>831</v>
      </c>
      <c r="F808" t="s">
        <v>101</v>
      </c>
      <c r="G808" t="str">
        <f>VLOOKUP(F808,รายชื่อลูกบ้าน!$A:$B,2,FALSE)</f>
        <v>คุณเฉลิมเกียรติ และนางนันริญา ราชนาจันทร์</v>
      </c>
      <c r="H808" t="s">
        <v>665</v>
      </c>
      <c r="J808" s="23">
        <v>600</v>
      </c>
    </row>
    <row r="809" spans="1:10">
      <c r="A809" s="2">
        <v>242277</v>
      </c>
      <c r="B809" s="7" t="s">
        <v>34</v>
      </c>
      <c r="C809" s="3" t="str">
        <f>VLOOKUP(B809,'Accounts chart'!$A:$B,2,FALSE)</f>
        <v>รายรับค่าส่วนกลาง</v>
      </c>
      <c r="E809" t="s">
        <v>832</v>
      </c>
      <c r="F809" t="s">
        <v>285</v>
      </c>
      <c r="G809" t="str">
        <f>VLOOKUP(F809,รายชื่อลูกบ้าน!$A:$B,2,FALSE)</f>
        <v>คุณประจักษ์ เนื่องละออ-คุณวนิดา เส็งนิสัย</v>
      </c>
      <c r="H809" t="s">
        <v>665</v>
      </c>
      <c r="J809" s="23">
        <v>600</v>
      </c>
    </row>
    <row r="810" spans="1:10">
      <c r="A810" s="2">
        <v>242277</v>
      </c>
      <c r="B810" s="7" t="s">
        <v>34</v>
      </c>
      <c r="C810" s="3" t="str">
        <f>VLOOKUP(B810,'Accounts chart'!$A:$B,2,FALSE)</f>
        <v>รายรับค่าส่วนกลาง</v>
      </c>
      <c r="E810" t="s">
        <v>833</v>
      </c>
      <c r="F810" t="s">
        <v>187</v>
      </c>
      <c r="G810" t="str">
        <f>VLOOKUP(F810,รายชื่อลูกบ้าน!$A:$B,2,FALSE)</f>
        <v>นายญัชพล ภู่ถาวร</v>
      </c>
      <c r="H810" t="s">
        <v>835</v>
      </c>
      <c r="J810" s="23">
        <v>600</v>
      </c>
    </row>
    <row r="811" spans="1:10">
      <c r="A811" s="2"/>
      <c r="C811" s="3"/>
    </row>
    <row r="812" spans="1:10">
      <c r="A812" s="2">
        <v>242277</v>
      </c>
      <c r="B812" s="7" t="s">
        <v>46</v>
      </c>
      <c r="C812" s="3" t="str">
        <f>VLOOKUP(B812,'Accounts chart'!$A:$B,2,FALSE)</f>
        <v>ค่าดูแลส่วนกลาง</v>
      </c>
      <c r="D812" t="s">
        <v>965</v>
      </c>
      <c r="H812" t="s">
        <v>966</v>
      </c>
      <c r="I812" s="23">
        <v>15000</v>
      </c>
    </row>
    <row r="813" spans="1:10">
      <c r="A813" s="2">
        <v>242277</v>
      </c>
      <c r="B813" s="7" t="s">
        <v>48</v>
      </c>
      <c r="C813" s="3" t="str">
        <f>VLOOKUP(B813,'Accounts chart'!$A:$B,2,FALSE)</f>
        <v>ค่ารักษาความปลอดภัย</v>
      </c>
      <c r="D813" t="s">
        <v>965</v>
      </c>
      <c r="H813" t="s">
        <v>966</v>
      </c>
      <c r="I813" s="23">
        <v>38814.32</v>
      </c>
    </row>
    <row r="814" spans="1:10">
      <c r="A814" s="2">
        <v>242277</v>
      </c>
      <c r="B814" s="7" t="s">
        <v>50</v>
      </c>
      <c r="C814" s="3" t="str">
        <f>VLOOKUP(B814,'Accounts chart'!$A:$B,2,FALSE)</f>
        <v>ค่าเก็บขยะ</v>
      </c>
      <c r="D814" t="s">
        <v>965</v>
      </c>
      <c r="H814" t="s">
        <v>966</v>
      </c>
      <c r="I814" s="23">
        <v>3000</v>
      </c>
    </row>
    <row r="815" spans="1:10">
      <c r="A815" s="2">
        <v>242277</v>
      </c>
      <c r="B815" s="7" t="s">
        <v>54</v>
      </c>
      <c r="C815" s="3" t="str">
        <f>VLOOKUP(B815,'Accounts chart'!$A:$B,2,FALSE)</f>
        <v>ค่าไฟฟ้า</v>
      </c>
      <c r="D815" t="s">
        <v>965</v>
      </c>
      <c r="H815" t="s">
        <v>966</v>
      </c>
      <c r="I815" s="23">
        <v>5777.06</v>
      </c>
    </row>
    <row r="816" spans="1:10">
      <c r="A816" s="2">
        <v>242277</v>
      </c>
      <c r="B816" s="7" t="s">
        <v>22</v>
      </c>
      <c r="C816" s="3" t="str">
        <f>VLOOKUP(B816,'Accounts chart'!$A:$B,2,FALSE)</f>
        <v>ค่าดูแลส่วนกลางค้างจ่าย</v>
      </c>
      <c r="D816" t="s">
        <v>965</v>
      </c>
      <c r="H816" t="s">
        <v>966</v>
      </c>
      <c r="J816" s="23">
        <v>15000</v>
      </c>
    </row>
    <row r="817" spans="1:10">
      <c r="A817" s="2">
        <v>242277</v>
      </c>
      <c r="B817" s="7" t="s">
        <v>18</v>
      </c>
      <c r="C817" s="3" t="str">
        <f>VLOOKUP(B817,'Accounts chart'!$A:$B,2,FALSE)</f>
        <v>ค่ารักษาความปลอดภัยค้างจ่าย</v>
      </c>
      <c r="D817" t="s">
        <v>965</v>
      </c>
      <c r="H817" t="s">
        <v>966</v>
      </c>
      <c r="J817" s="23">
        <v>38814.32</v>
      </c>
    </row>
    <row r="818" spans="1:10">
      <c r="A818" s="2">
        <v>242277</v>
      </c>
      <c r="B818" s="7" t="s">
        <v>14</v>
      </c>
      <c r="C818" s="3" t="str">
        <f>VLOOKUP(B818,'Accounts chart'!$A:$B,2,FALSE)</f>
        <v>ค่าเก็บขยะค้างจ่าย</v>
      </c>
      <c r="D818" t="s">
        <v>965</v>
      </c>
      <c r="H818" t="s">
        <v>966</v>
      </c>
      <c r="J818" s="23">
        <v>3000</v>
      </c>
    </row>
    <row r="819" spans="1:10">
      <c r="A819" s="2">
        <v>242277</v>
      </c>
      <c r="B819" s="7" t="s">
        <v>20</v>
      </c>
      <c r="C819" s="3" t="str">
        <f>VLOOKUP(B819,'Accounts chart'!$A:$B,2,FALSE)</f>
        <v>ค่าไฟฟ้าค้างจ่าย</v>
      </c>
      <c r="D819" t="s">
        <v>965</v>
      </c>
      <c r="H819" t="s">
        <v>966</v>
      </c>
      <c r="J819" s="23">
        <v>5777.06</v>
      </c>
    </row>
    <row r="820" spans="1:10">
      <c r="A820" s="2"/>
      <c r="C820" s="3"/>
    </row>
    <row r="822" spans="1:10">
      <c r="A822" s="2">
        <v>242278</v>
      </c>
      <c r="B822" s="7" t="s">
        <v>3</v>
      </c>
      <c r="C822" s="3" t="str">
        <f>VLOOKUP(B822,'Accounts chart'!$A:$B,2,FALSE)</f>
        <v>ธนาคารกสิกรไทย SA-040-1-56500-0</v>
      </c>
      <c r="E822" t="s">
        <v>838</v>
      </c>
      <c r="F822" t="s">
        <v>109</v>
      </c>
      <c r="G822" t="str">
        <f>VLOOKUP(F822,รายชื่อลูกบ้าน!$A:$B,2,FALSE)</f>
        <v>คุณพัฒนชญา+คุณธิตินันท์ วงค์บุปผา</v>
      </c>
      <c r="H822" t="s">
        <v>835</v>
      </c>
      <c r="I822" s="23">
        <v>600</v>
      </c>
    </row>
    <row r="823" spans="1:10">
      <c r="A823" s="2">
        <v>242278</v>
      </c>
      <c r="B823" s="7" t="s">
        <v>3</v>
      </c>
      <c r="C823" s="3" t="str">
        <f>VLOOKUP(B823,'Accounts chart'!$A:$B,2,FALSE)</f>
        <v>ธนาคารกสิกรไทย SA-040-1-56500-0</v>
      </c>
      <c r="E823" t="s">
        <v>839</v>
      </c>
      <c r="F823" t="s">
        <v>374</v>
      </c>
      <c r="G823" t="str">
        <f>VLOOKUP(F823,รายชื่อลูกบ้าน!$A:$B,2,FALSE)</f>
        <v>คุณเกียรติภูมิ วิรติภูมิ</v>
      </c>
      <c r="H823" t="s">
        <v>835</v>
      </c>
      <c r="I823" s="23">
        <v>600.9</v>
      </c>
    </row>
    <row r="824" spans="1:10">
      <c r="A824" s="2">
        <v>242278</v>
      </c>
      <c r="B824" s="7" t="s">
        <v>3</v>
      </c>
      <c r="C824" s="3" t="str">
        <f>VLOOKUP(B824,'Accounts chart'!$A:$B,2,FALSE)</f>
        <v>ธนาคารกสิกรไทย SA-040-1-56500-0</v>
      </c>
      <c r="E824" t="s">
        <v>840</v>
      </c>
      <c r="F824" t="s">
        <v>69</v>
      </c>
      <c r="G824" t="str">
        <f>VLOOKUP(F824,รายชื่อลูกบ้าน!$A:$B,2,FALSE)</f>
        <v>คุณโกวิท-คุณศันสนีย์ รัตนมณี</v>
      </c>
      <c r="H824" t="s">
        <v>665</v>
      </c>
      <c r="I824" s="23">
        <v>600</v>
      </c>
    </row>
    <row r="825" spans="1:10">
      <c r="A825" s="2">
        <v>242278</v>
      </c>
      <c r="B825" s="7" t="s">
        <v>3</v>
      </c>
      <c r="C825" s="3" t="str">
        <f>VLOOKUP(B825,'Accounts chart'!$A:$B,2,FALSE)</f>
        <v>ธนาคารกสิกรไทย SA-040-1-56500-0</v>
      </c>
      <c r="E825" t="s">
        <v>841</v>
      </c>
      <c r="F825" t="s">
        <v>122</v>
      </c>
      <c r="G825" t="str">
        <f>VLOOKUP(F825,รายชื่อลูกบ้าน!$A:$B,2,FALSE)</f>
        <v>คุณศิวกร รัตนประดิษฐ์</v>
      </c>
      <c r="H825" t="s">
        <v>835</v>
      </c>
      <c r="I825" s="23">
        <v>600</v>
      </c>
    </row>
    <row r="826" spans="1:10">
      <c r="A826" s="25">
        <v>242278</v>
      </c>
      <c r="B826" s="26" t="s">
        <v>3</v>
      </c>
      <c r="C826" s="27" t="str">
        <f>VLOOKUP(B826,'Accounts chart'!$A:$B,2,FALSE)</f>
        <v>ธนาคารกสิกรไทย SA-040-1-56500-0</v>
      </c>
      <c r="D826" s="4"/>
      <c r="E826" s="4" t="s">
        <v>842</v>
      </c>
      <c r="F826" s="4" t="s">
        <v>834</v>
      </c>
      <c r="G826" s="4" t="e">
        <f>VLOOKUP(F826,รายชื่อลูกบ้าน!$A:$B,2,FALSE)</f>
        <v>#N/A</v>
      </c>
      <c r="H826" s="4" t="s">
        <v>834</v>
      </c>
      <c r="I826" s="28">
        <v>600</v>
      </c>
      <c r="J826" s="28"/>
    </row>
    <row r="827" spans="1:10">
      <c r="A827" s="2">
        <v>242278</v>
      </c>
      <c r="B827" s="7" t="s">
        <v>34</v>
      </c>
      <c r="C827" s="3" t="str">
        <f>VLOOKUP(B827,'Accounts chart'!$A:$B,2,FALSE)</f>
        <v>รายรับค่าส่วนกลาง</v>
      </c>
      <c r="E827" t="s">
        <v>838</v>
      </c>
      <c r="F827" t="s">
        <v>109</v>
      </c>
      <c r="G827" t="s">
        <v>110</v>
      </c>
      <c r="H827" t="s">
        <v>835</v>
      </c>
      <c r="I827" s="20"/>
      <c r="J827" s="20">
        <v>600</v>
      </c>
    </row>
    <row r="828" spans="1:10">
      <c r="A828" s="2">
        <v>242278</v>
      </c>
      <c r="B828" s="7" t="s">
        <v>34</v>
      </c>
      <c r="C828" s="3" t="str">
        <f>VLOOKUP(B828,'Accounts chart'!$A:$B,2,FALSE)</f>
        <v>รายรับค่าส่วนกลาง</v>
      </c>
      <c r="E828" t="s">
        <v>839</v>
      </c>
      <c r="F828" t="s">
        <v>374</v>
      </c>
      <c r="G828" t="s">
        <v>382</v>
      </c>
      <c r="H828" t="s">
        <v>835</v>
      </c>
      <c r="I828" s="20"/>
      <c r="J828" s="20">
        <v>600.9</v>
      </c>
    </row>
    <row r="829" spans="1:10">
      <c r="A829" s="2">
        <v>242278</v>
      </c>
      <c r="B829" s="7" t="s">
        <v>34</v>
      </c>
      <c r="C829" s="3" t="str">
        <f>VLOOKUP(B829,'Accounts chart'!$A:$B,2,FALSE)</f>
        <v>รายรับค่าส่วนกลาง</v>
      </c>
      <c r="E829" t="s">
        <v>840</v>
      </c>
      <c r="F829" t="s">
        <v>69</v>
      </c>
      <c r="G829" t="s">
        <v>70</v>
      </c>
      <c r="H829" t="s">
        <v>665</v>
      </c>
      <c r="I829" s="20"/>
      <c r="J829" s="20">
        <v>600</v>
      </c>
    </row>
    <row r="830" spans="1:10">
      <c r="A830" s="2">
        <v>242278</v>
      </c>
      <c r="B830" s="7" t="s">
        <v>34</v>
      </c>
      <c r="C830" s="3" t="str">
        <f>VLOOKUP(B830,'Accounts chart'!$A:$B,2,FALSE)</f>
        <v>รายรับค่าส่วนกลาง</v>
      </c>
      <c r="E830" t="s">
        <v>841</v>
      </c>
      <c r="F830" t="s">
        <v>122</v>
      </c>
      <c r="G830" t="s">
        <v>123</v>
      </c>
      <c r="H830" t="s">
        <v>835</v>
      </c>
      <c r="I830" s="20"/>
      <c r="J830" s="20">
        <v>600</v>
      </c>
    </row>
    <row r="831" spans="1:10">
      <c r="A831" s="25">
        <v>242278</v>
      </c>
      <c r="B831" s="26" t="s">
        <v>26</v>
      </c>
      <c r="C831" s="27" t="str">
        <f>VLOOKUP(B831,'Accounts chart'!$A:$B,2,FALSE)</f>
        <v>รายได้ค่าส่วนกลางไม่ทราบชือ</v>
      </c>
      <c r="D831" s="4"/>
      <c r="E831" s="4" t="s">
        <v>842</v>
      </c>
      <c r="F831" s="4" t="s">
        <v>834</v>
      </c>
      <c r="G831" s="4" t="e">
        <v>#N/A</v>
      </c>
      <c r="H831" s="4" t="s">
        <v>834</v>
      </c>
      <c r="I831" s="28"/>
      <c r="J831" s="28">
        <v>600</v>
      </c>
    </row>
    <row r="832" spans="1:10">
      <c r="A832" s="2"/>
      <c r="C832" s="3"/>
      <c r="I832" s="20"/>
      <c r="J832" s="20"/>
    </row>
    <row r="833" spans="1:10">
      <c r="A833" s="2">
        <v>242279</v>
      </c>
      <c r="B833" s="7" t="s">
        <v>3</v>
      </c>
      <c r="C833" s="3" t="str">
        <f>VLOOKUP(B833,'Accounts chart'!$A:$B,2,FALSE)</f>
        <v>ธนาคารกสิกรไทย SA-040-1-56500-0</v>
      </c>
      <c r="E833" t="s">
        <v>843</v>
      </c>
      <c r="F833" t="s">
        <v>225</v>
      </c>
      <c r="G833" t="str">
        <f>VLOOKUP(F833,รายชื่อลูกบ้าน!$A:$B,2,FALSE)</f>
        <v>คุณถวิล เคสา</v>
      </c>
      <c r="H833" t="s">
        <v>835</v>
      </c>
      <c r="I833" s="23">
        <v>600</v>
      </c>
    </row>
    <row r="834" spans="1:10">
      <c r="A834" s="2">
        <v>242279</v>
      </c>
      <c r="B834" s="7" t="s">
        <v>3</v>
      </c>
      <c r="C834" s="3" t="str">
        <f>VLOOKUP(B834,'Accounts chart'!$A:$B,2,FALSE)</f>
        <v>ธนาคารกสิกรไทย SA-040-1-56500-0</v>
      </c>
      <c r="E834" t="s">
        <v>844</v>
      </c>
      <c r="F834" t="s">
        <v>313</v>
      </c>
      <c r="G834" t="str">
        <f>VLOOKUP(F834,รายชื่อลูกบ้าน!$A:$B,2,FALSE)</f>
        <v>คุณภานุมาศ ธนาธรศิริยุทธ์</v>
      </c>
      <c r="H834" t="s">
        <v>835</v>
      </c>
      <c r="I834" s="23">
        <v>600</v>
      </c>
    </row>
    <row r="835" spans="1:10">
      <c r="A835" s="2">
        <v>242279</v>
      </c>
      <c r="B835" s="7" t="s">
        <v>3</v>
      </c>
      <c r="C835" s="3" t="str">
        <f>VLOOKUP(B835,'Accounts chart'!$A:$B,2,FALSE)</f>
        <v>ธนาคารกสิกรไทย SA-040-1-56500-0</v>
      </c>
      <c r="E835" t="s">
        <v>845</v>
      </c>
      <c r="F835" t="s">
        <v>337</v>
      </c>
      <c r="G835" t="str">
        <f>VLOOKUP(F835,รายชื่อลูกบ้าน!$A:$B,2,FALSE)</f>
        <v>คุณพงศกร-คุณปิยะพร ปาเลิง</v>
      </c>
      <c r="H835" t="s">
        <v>899</v>
      </c>
      <c r="I835" s="23">
        <v>1200</v>
      </c>
    </row>
    <row r="836" spans="1:10">
      <c r="A836" s="2">
        <v>242279</v>
      </c>
      <c r="B836" s="7" t="s">
        <v>34</v>
      </c>
      <c r="C836" s="3" t="str">
        <f>VLOOKUP(B836,'Accounts chart'!$A:$B,2,FALSE)</f>
        <v>รายรับค่าส่วนกลาง</v>
      </c>
      <c r="E836" t="s">
        <v>843</v>
      </c>
      <c r="F836" t="s">
        <v>225</v>
      </c>
      <c r="G836" t="str">
        <f>VLOOKUP(F836,รายชื่อลูกบ้าน!$A:$B,2,FALSE)</f>
        <v>คุณถวิล เคสา</v>
      </c>
      <c r="H836" t="s">
        <v>835</v>
      </c>
      <c r="J836" s="23">
        <v>600</v>
      </c>
    </row>
    <row r="837" spans="1:10">
      <c r="A837" s="2">
        <v>242279</v>
      </c>
      <c r="B837" s="7" t="s">
        <v>34</v>
      </c>
      <c r="C837" s="3" t="str">
        <f>VLOOKUP(B837,'Accounts chart'!$A:$B,2,FALSE)</f>
        <v>รายรับค่าส่วนกลาง</v>
      </c>
      <c r="E837" t="s">
        <v>844</v>
      </c>
      <c r="F837" t="s">
        <v>313</v>
      </c>
      <c r="G837" t="str">
        <f>VLOOKUP(F837,รายชื่อลูกบ้าน!$A:$B,2,FALSE)</f>
        <v>คุณภานุมาศ ธนาธรศิริยุทธ์</v>
      </c>
      <c r="H837" t="s">
        <v>835</v>
      </c>
      <c r="J837" s="23">
        <v>600</v>
      </c>
    </row>
    <row r="838" spans="1:10">
      <c r="A838" s="2">
        <v>242279</v>
      </c>
      <c r="B838" s="7" t="s">
        <v>34</v>
      </c>
      <c r="C838" s="3" t="str">
        <f>VLOOKUP(B838,'Accounts chart'!$A:$B,2,FALSE)</f>
        <v>รายรับค่าส่วนกลาง</v>
      </c>
      <c r="E838" t="s">
        <v>845</v>
      </c>
      <c r="F838" t="s">
        <v>337</v>
      </c>
      <c r="G838" t="str">
        <f>VLOOKUP(F838,รายชื่อลูกบ้าน!$A:$B,2,FALSE)</f>
        <v>คุณพงศกร-คุณปิยะพร ปาเลิง</v>
      </c>
      <c r="H838" t="s">
        <v>899</v>
      </c>
      <c r="J838" s="23">
        <v>1200</v>
      </c>
    </row>
    <row r="839" spans="1:10">
      <c r="A839" s="2"/>
      <c r="C839" s="3"/>
    </row>
    <row r="840" spans="1:10">
      <c r="A840" s="2">
        <v>242280</v>
      </c>
      <c r="B840" s="7" t="s">
        <v>3</v>
      </c>
      <c r="C840" s="3" t="str">
        <f>VLOOKUP(B840,'Accounts chart'!$A:$B,2,FALSE)</f>
        <v>ธนาคารกสิกรไทย SA-040-1-56500-0</v>
      </c>
      <c r="E840" t="s">
        <v>846</v>
      </c>
      <c r="F840" t="s">
        <v>263</v>
      </c>
      <c r="G840" t="str">
        <f>VLOOKUP(F840,รายชื่อลูกบ้าน!$A:$B,2,FALSE)</f>
        <v>คุณธัญพร โชคศิริภาวรตาซเซ</v>
      </c>
      <c r="H840" t="s">
        <v>837</v>
      </c>
      <c r="I840" s="23">
        <v>1200</v>
      </c>
    </row>
    <row r="841" spans="1:10">
      <c r="A841" s="2">
        <v>242280</v>
      </c>
      <c r="B841" s="7" t="s">
        <v>3</v>
      </c>
      <c r="C841" s="3" t="str">
        <f>VLOOKUP(B841,'Accounts chart'!$A:$B,2,FALSE)</f>
        <v>ธนาคารกสิกรไทย SA-040-1-56500-0</v>
      </c>
      <c r="E841" t="s">
        <v>847</v>
      </c>
      <c r="F841" t="s">
        <v>87</v>
      </c>
      <c r="G841" t="str">
        <f>VLOOKUP(F841,รายชื่อลูกบ้าน!$A:$B,2,FALSE)</f>
        <v>คุณคงกฤษณ์ กาญจนพฤกษ์</v>
      </c>
      <c r="H841" t="s">
        <v>665</v>
      </c>
      <c r="I841" s="23">
        <v>600</v>
      </c>
    </row>
    <row r="842" spans="1:10">
      <c r="A842" s="2">
        <v>242280</v>
      </c>
      <c r="B842" s="7" t="s">
        <v>34</v>
      </c>
      <c r="C842" s="3" t="str">
        <f>VLOOKUP(B842,'Accounts chart'!$A:$B,2,FALSE)</f>
        <v>รายรับค่าส่วนกลาง</v>
      </c>
      <c r="E842" t="s">
        <v>846</v>
      </c>
      <c r="F842" t="s">
        <v>263</v>
      </c>
      <c r="G842" t="str">
        <f>VLOOKUP(F842,รายชื่อลูกบ้าน!$A:$B,2,FALSE)</f>
        <v>คุณธัญพร โชคศิริภาวรตาซเซ</v>
      </c>
      <c r="H842" t="s">
        <v>837</v>
      </c>
      <c r="J842" s="23">
        <v>1200</v>
      </c>
    </row>
    <row r="843" spans="1:10">
      <c r="A843" s="2">
        <v>242280</v>
      </c>
      <c r="B843" s="7" t="s">
        <v>34</v>
      </c>
      <c r="C843" s="3" t="str">
        <f>VLOOKUP(B843,'Accounts chart'!$A:$B,2,FALSE)</f>
        <v>รายรับค่าส่วนกลาง</v>
      </c>
      <c r="E843" t="s">
        <v>847</v>
      </c>
      <c r="F843" t="s">
        <v>87</v>
      </c>
      <c r="G843" t="str">
        <f>VLOOKUP(F843,รายชื่อลูกบ้าน!$A:$B,2,FALSE)</f>
        <v>คุณคงกฤษณ์ กาญจนพฤกษ์</v>
      </c>
      <c r="H843" t="s">
        <v>665</v>
      </c>
      <c r="J843" s="23">
        <v>600</v>
      </c>
    </row>
    <row r="844" spans="1:10">
      <c r="A844" s="2"/>
      <c r="C844" s="3"/>
    </row>
    <row r="845" spans="1:10">
      <c r="A845" s="2">
        <v>242281</v>
      </c>
      <c r="B845" s="7" t="s">
        <v>3</v>
      </c>
      <c r="C845" s="3" t="str">
        <f>VLOOKUP(B845,'Accounts chart'!$A:$B,2,FALSE)</f>
        <v>ธนาคารกสิกรไทย SA-040-1-56500-0</v>
      </c>
      <c r="E845" t="s">
        <v>848</v>
      </c>
      <c r="F845" t="s">
        <v>354</v>
      </c>
      <c r="G845" t="str">
        <f>VLOOKUP(F845,รายชื่อลูกบ้าน!$A:$B,2,FALSE)</f>
        <v>คุณสุรัตน์ พันธุ์แย้มมาลี</v>
      </c>
      <c r="H845" t="s">
        <v>665</v>
      </c>
      <c r="I845" s="23">
        <v>600</v>
      </c>
    </row>
    <row r="846" spans="1:10">
      <c r="A846" s="2">
        <v>242281</v>
      </c>
      <c r="B846" s="7" t="s">
        <v>3</v>
      </c>
      <c r="C846" s="3" t="str">
        <f>VLOOKUP(B846,'Accounts chart'!$A:$B,2,FALSE)</f>
        <v>ธนาคารกสิกรไทย SA-040-1-56500-0</v>
      </c>
      <c r="E846" t="s">
        <v>849</v>
      </c>
      <c r="F846" t="s">
        <v>118</v>
      </c>
      <c r="G846" t="str">
        <f>VLOOKUP(F846,รายชื่อลูกบ้าน!$A:$B,2,FALSE)</f>
        <v>คุณด้ามพรรณ ตั้งทองจิตร-คุณศราวุธ ฑพธาภิรมย์</v>
      </c>
      <c r="H846" t="s">
        <v>424</v>
      </c>
      <c r="I846" s="23">
        <v>600</v>
      </c>
    </row>
    <row r="847" spans="1:10">
      <c r="A847" s="2">
        <v>242281</v>
      </c>
      <c r="B847" s="7" t="s">
        <v>3</v>
      </c>
      <c r="C847" s="3" t="str">
        <f>VLOOKUP(B847,'Accounts chart'!$A:$B,2,FALSE)</f>
        <v>ธนาคารกสิกรไทย SA-040-1-56500-0</v>
      </c>
      <c r="E847" t="s">
        <v>850</v>
      </c>
      <c r="F847" t="s">
        <v>74</v>
      </c>
      <c r="G847" t="str">
        <f>VLOOKUP(F847,รายชื่อลูกบ้าน!$A:$B,2,FALSE)</f>
        <v>คุณคมกฤษณ์ เรืองเพ็ง</v>
      </c>
      <c r="H847" t="s">
        <v>835</v>
      </c>
      <c r="I847" s="23">
        <v>600</v>
      </c>
    </row>
    <row r="848" spans="1:10">
      <c r="A848" s="25">
        <v>242281</v>
      </c>
      <c r="B848" s="26" t="s">
        <v>3</v>
      </c>
      <c r="C848" s="27" t="str">
        <f>VLOOKUP(B848,'Accounts chart'!$A:$B,2,FALSE)</f>
        <v>ธนาคารกสิกรไทย SA-040-1-56500-0</v>
      </c>
      <c r="D848" s="4"/>
      <c r="E848" s="4" t="s">
        <v>851</v>
      </c>
      <c r="F848" s="4" t="s">
        <v>834</v>
      </c>
      <c r="G848" s="4" t="e">
        <f>VLOOKUP(F848,รายชื่อลูกบ้าน!$A:$B,2,FALSE)</f>
        <v>#N/A</v>
      </c>
      <c r="H848" s="4" t="s">
        <v>834</v>
      </c>
      <c r="I848" s="28">
        <v>600</v>
      </c>
      <c r="J848" s="28"/>
    </row>
    <row r="849" spans="1:10">
      <c r="A849" s="2">
        <v>242281</v>
      </c>
      <c r="B849" s="7" t="s">
        <v>34</v>
      </c>
      <c r="C849" s="3" t="str">
        <f>VLOOKUP(B849,'Accounts chart'!$A:$B,2,FALSE)</f>
        <v>รายรับค่าส่วนกลาง</v>
      </c>
      <c r="E849" t="s">
        <v>848</v>
      </c>
      <c r="F849" t="s">
        <v>354</v>
      </c>
      <c r="G849" t="s">
        <v>355</v>
      </c>
      <c r="H849" t="s">
        <v>665</v>
      </c>
      <c r="I849" s="20"/>
      <c r="J849" s="20">
        <v>600</v>
      </c>
    </row>
    <row r="850" spans="1:10">
      <c r="A850" s="2">
        <v>242281</v>
      </c>
      <c r="B850" s="7" t="s">
        <v>34</v>
      </c>
      <c r="C850" s="3" t="str">
        <f>VLOOKUP(B850,'Accounts chart'!$A:$B,2,FALSE)</f>
        <v>รายรับค่าส่วนกลาง</v>
      </c>
      <c r="E850" t="s">
        <v>849</v>
      </c>
      <c r="F850" t="s">
        <v>118</v>
      </c>
      <c r="G850" t="s">
        <v>90</v>
      </c>
      <c r="H850" t="s">
        <v>424</v>
      </c>
      <c r="I850" s="20"/>
      <c r="J850" s="20">
        <v>600</v>
      </c>
    </row>
    <row r="851" spans="1:10">
      <c r="A851" s="2">
        <v>242281</v>
      </c>
      <c r="B851" s="7" t="s">
        <v>34</v>
      </c>
      <c r="C851" s="3" t="str">
        <f>VLOOKUP(B851,'Accounts chart'!$A:$B,2,FALSE)</f>
        <v>รายรับค่าส่วนกลาง</v>
      </c>
      <c r="E851" t="s">
        <v>850</v>
      </c>
      <c r="F851" t="s">
        <v>74</v>
      </c>
      <c r="G851" t="s">
        <v>75</v>
      </c>
      <c r="H851" t="s">
        <v>835</v>
      </c>
      <c r="I851" s="20"/>
      <c r="J851" s="20">
        <v>600</v>
      </c>
    </row>
    <row r="852" spans="1:10">
      <c r="A852" s="25">
        <v>242281</v>
      </c>
      <c r="B852" s="26" t="s">
        <v>26</v>
      </c>
      <c r="C852" s="27" t="str">
        <f>VLOOKUP(B852,'Accounts chart'!$A:$B,2,FALSE)</f>
        <v>รายได้ค่าส่วนกลางไม่ทราบชือ</v>
      </c>
      <c r="D852" s="4"/>
      <c r="E852" s="4" t="s">
        <v>851</v>
      </c>
      <c r="F852" s="4" t="s">
        <v>834</v>
      </c>
      <c r="G852" s="4" t="e">
        <v>#N/A</v>
      </c>
      <c r="H852" s="4" t="s">
        <v>834</v>
      </c>
      <c r="I852" s="28"/>
      <c r="J852" s="28">
        <v>600</v>
      </c>
    </row>
    <row r="853" spans="1:10">
      <c r="A853" s="2"/>
      <c r="C853" s="3"/>
      <c r="I853" s="20"/>
      <c r="J853" s="20"/>
    </row>
    <row r="854" spans="1:10">
      <c r="A854" s="2">
        <v>242282</v>
      </c>
      <c r="B854" s="7" t="s">
        <v>3</v>
      </c>
      <c r="C854" s="3" t="str">
        <f>VLOOKUP(B854,'Accounts chart'!$A:$B,2,FALSE)</f>
        <v>ธนาคารกสิกรไทย SA-040-1-56500-0</v>
      </c>
      <c r="E854" t="s">
        <v>852</v>
      </c>
      <c r="F854" t="s">
        <v>121</v>
      </c>
      <c r="G854" t="str">
        <f>VLOOKUP(F854,รายชื่อลูกบ้าน!$A:$B,2,FALSE)</f>
        <v>คุณสถิตย์ ปาระพิมพ์</v>
      </c>
      <c r="H854" t="s">
        <v>665</v>
      </c>
      <c r="I854" s="23">
        <v>600</v>
      </c>
    </row>
    <row r="855" spans="1:10">
      <c r="A855" s="2">
        <v>242282</v>
      </c>
      <c r="B855" s="7" t="s">
        <v>3</v>
      </c>
      <c r="C855" s="3" t="str">
        <f>VLOOKUP(B855,'Accounts chart'!$A:$B,2,FALSE)</f>
        <v>ธนาคารกสิกรไทย SA-040-1-56500-0</v>
      </c>
      <c r="E855" t="s">
        <v>853</v>
      </c>
      <c r="F855" t="s">
        <v>161</v>
      </c>
      <c r="G855" t="str">
        <f>VLOOKUP(F855,รายชื่อลูกบ้าน!$A:$B,2,FALSE)</f>
        <v>คุณพงษ์พัฒนา มาบุญ</v>
      </c>
      <c r="H855" t="s">
        <v>665</v>
      </c>
      <c r="I855" s="23">
        <v>600</v>
      </c>
    </row>
    <row r="856" spans="1:10">
      <c r="A856" s="2">
        <v>242282</v>
      </c>
      <c r="B856" s="7" t="s">
        <v>34</v>
      </c>
      <c r="C856" s="3" t="str">
        <f>VLOOKUP(B856,'Accounts chart'!$A:$B,2,FALSE)</f>
        <v>รายรับค่าส่วนกลาง</v>
      </c>
      <c r="E856" t="s">
        <v>852</v>
      </c>
      <c r="F856" t="s">
        <v>121</v>
      </c>
      <c r="G856" t="str">
        <f>VLOOKUP(F856,รายชื่อลูกบ้าน!$A:$B,2,FALSE)</f>
        <v>คุณสถิตย์ ปาระพิมพ์</v>
      </c>
      <c r="H856" t="s">
        <v>665</v>
      </c>
      <c r="J856" s="23">
        <v>600</v>
      </c>
    </row>
    <row r="857" spans="1:10">
      <c r="A857" s="2">
        <v>242282</v>
      </c>
      <c r="B857" s="7" t="s">
        <v>34</v>
      </c>
      <c r="C857" s="3" t="str">
        <f>VLOOKUP(B857,'Accounts chart'!$A:$B,2,FALSE)</f>
        <v>รายรับค่าส่วนกลาง</v>
      </c>
      <c r="E857" t="s">
        <v>853</v>
      </c>
      <c r="F857" t="s">
        <v>161</v>
      </c>
      <c r="G857" t="str">
        <f>VLOOKUP(F857,รายชื่อลูกบ้าน!$A:$B,2,FALSE)</f>
        <v>คุณพงษ์พัฒนา มาบุญ</v>
      </c>
      <c r="H857" t="s">
        <v>665</v>
      </c>
      <c r="J857" s="23">
        <v>600</v>
      </c>
    </row>
    <row r="858" spans="1:10">
      <c r="A858" s="2"/>
      <c r="C858" s="3"/>
    </row>
    <row r="859" spans="1:10">
      <c r="A859" s="2">
        <v>242283</v>
      </c>
      <c r="B859" s="7" t="s">
        <v>3</v>
      </c>
      <c r="C859" s="3" t="str">
        <f>VLOOKUP(B859,'Accounts chart'!$A:$B,2,FALSE)</f>
        <v>ธนาคารกสิกรไทย SA-040-1-56500-0</v>
      </c>
      <c r="E859" t="s">
        <v>854</v>
      </c>
      <c r="F859" t="s">
        <v>311</v>
      </c>
      <c r="G859" t="str">
        <f>VLOOKUP(F859,รายชื่อลูกบ้าน!$A:$B,2,FALSE)</f>
        <v>คุณปิยณัฐ ปัญญาสวัสดิ์</v>
      </c>
      <c r="H859" t="s">
        <v>835</v>
      </c>
      <c r="I859" s="23">
        <v>600</v>
      </c>
    </row>
    <row r="860" spans="1:10">
      <c r="A860" s="2">
        <v>242283</v>
      </c>
      <c r="B860" s="7" t="s">
        <v>3</v>
      </c>
      <c r="C860" s="3" t="str">
        <f>VLOOKUP(B860,'Accounts chart'!$A:$B,2,FALSE)</f>
        <v>ธนาคารกสิกรไทย SA-040-1-56500-0</v>
      </c>
      <c r="E860" t="s">
        <v>855</v>
      </c>
      <c r="F860" t="s">
        <v>227</v>
      </c>
      <c r="G860" t="str">
        <f>VLOOKUP(F860,รายชื่อลูกบ้าน!$A:$B,2,FALSE)</f>
        <v>คุณเกียรติชัย การรุ่งเรือง-คุณศศิธร เศียรศิริบัณฑิต</v>
      </c>
      <c r="H860" t="s">
        <v>665</v>
      </c>
      <c r="I860" s="23">
        <v>600</v>
      </c>
    </row>
    <row r="861" spans="1:10">
      <c r="A861" s="2">
        <v>242283</v>
      </c>
      <c r="B861" s="7" t="s">
        <v>3</v>
      </c>
      <c r="C861" s="3" t="str">
        <f>VLOOKUP(B861,'Accounts chart'!$A:$B,2,FALSE)</f>
        <v>ธนาคารกสิกรไทย SA-040-1-56500-0</v>
      </c>
      <c r="E861" t="s">
        <v>856</v>
      </c>
      <c r="F861" t="s">
        <v>255</v>
      </c>
      <c r="G861" t="str">
        <f>VLOOKUP(F861,รายชื่อลูกบ้าน!$A:$B,2,FALSE)</f>
        <v>คุณไชยยันต์ แก้วบุญศรี</v>
      </c>
      <c r="H861" t="s">
        <v>835</v>
      </c>
      <c r="I861" s="23">
        <v>600</v>
      </c>
    </row>
    <row r="862" spans="1:10">
      <c r="A862" s="2">
        <v>242283</v>
      </c>
      <c r="B862" s="7" t="s">
        <v>34</v>
      </c>
      <c r="C862" s="3" t="str">
        <f>VLOOKUP(B862,'Accounts chart'!$A:$B,2,FALSE)</f>
        <v>รายรับค่าส่วนกลาง</v>
      </c>
      <c r="E862" t="s">
        <v>854</v>
      </c>
      <c r="F862" t="s">
        <v>311</v>
      </c>
      <c r="G862" t="str">
        <f>VLOOKUP(F862,รายชื่อลูกบ้าน!$A:$B,2,FALSE)</f>
        <v>คุณปิยณัฐ ปัญญาสวัสดิ์</v>
      </c>
      <c r="H862" t="s">
        <v>835</v>
      </c>
      <c r="J862" s="23">
        <v>600</v>
      </c>
    </row>
    <row r="863" spans="1:10">
      <c r="A863" s="2">
        <v>242283</v>
      </c>
      <c r="B863" s="7" t="s">
        <v>34</v>
      </c>
      <c r="C863" s="3" t="str">
        <f>VLOOKUP(B863,'Accounts chart'!$A:$B,2,FALSE)</f>
        <v>รายรับค่าส่วนกลาง</v>
      </c>
      <c r="E863" t="s">
        <v>855</v>
      </c>
      <c r="F863" t="s">
        <v>227</v>
      </c>
      <c r="G863" t="str">
        <f>VLOOKUP(F863,รายชื่อลูกบ้าน!$A:$B,2,FALSE)</f>
        <v>คุณเกียรติชัย การรุ่งเรือง-คุณศศิธร เศียรศิริบัณฑิต</v>
      </c>
      <c r="H863" t="s">
        <v>665</v>
      </c>
      <c r="J863" s="23">
        <v>600</v>
      </c>
    </row>
    <row r="864" spans="1:10">
      <c r="A864" s="2">
        <v>242283</v>
      </c>
      <c r="B864" s="7" t="s">
        <v>34</v>
      </c>
      <c r="C864" s="3" t="str">
        <f>VLOOKUP(B864,'Accounts chart'!$A:$B,2,FALSE)</f>
        <v>รายรับค่าส่วนกลาง</v>
      </c>
      <c r="E864" t="s">
        <v>856</v>
      </c>
      <c r="F864" t="s">
        <v>255</v>
      </c>
      <c r="G864" t="str">
        <f>VLOOKUP(F864,รายชื่อลูกบ้าน!$A:$B,2,FALSE)</f>
        <v>คุณไชยยันต์ แก้วบุญศรี</v>
      </c>
      <c r="H864" t="s">
        <v>835</v>
      </c>
      <c r="J864" s="23">
        <v>600</v>
      </c>
    </row>
    <row r="865" spans="1:10">
      <c r="A865" s="2"/>
      <c r="C865" s="3"/>
    </row>
    <row r="866" spans="1:10">
      <c r="A866" s="2">
        <v>242284</v>
      </c>
      <c r="B866" s="7" t="s">
        <v>3</v>
      </c>
      <c r="C866" s="3" t="str">
        <f>VLOOKUP(B866,'Accounts chart'!$A:$B,2,FALSE)</f>
        <v>ธนาคารกสิกรไทย SA-040-1-56500-0</v>
      </c>
      <c r="E866" t="s">
        <v>857</v>
      </c>
      <c r="F866" t="s">
        <v>360</v>
      </c>
      <c r="G866" t="str">
        <f>VLOOKUP(F866,รายชื่อลูกบ้าน!$A:$B,2,FALSE)</f>
        <v>คุณวิษา มีมาก</v>
      </c>
      <c r="H866" t="s">
        <v>835</v>
      </c>
      <c r="I866" s="23">
        <v>600</v>
      </c>
    </row>
    <row r="867" spans="1:10">
      <c r="A867" s="2">
        <v>242284</v>
      </c>
      <c r="B867" s="7" t="s">
        <v>34</v>
      </c>
      <c r="C867" s="3" t="str">
        <f>VLOOKUP(B867,'Accounts chart'!$A:$B,2,FALSE)</f>
        <v>รายรับค่าส่วนกลาง</v>
      </c>
      <c r="E867" t="s">
        <v>857</v>
      </c>
      <c r="F867" t="s">
        <v>360</v>
      </c>
      <c r="G867" t="str">
        <f>VLOOKUP(F867,รายชื่อลูกบ้าน!$A:$B,2,FALSE)</f>
        <v>คุณวิษา มีมาก</v>
      </c>
      <c r="H867" t="s">
        <v>835</v>
      </c>
      <c r="J867" s="23">
        <v>600</v>
      </c>
    </row>
    <row r="868" spans="1:10">
      <c r="A868" s="2"/>
      <c r="C868" s="3"/>
    </row>
    <row r="869" spans="1:10">
      <c r="A869" s="2">
        <v>242284</v>
      </c>
      <c r="B869" s="7" t="s">
        <v>42</v>
      </c>
      <c r="C869" s="3" t="str">
        <f>VLOOKUP(B869,'Accounts chart'!$A:$B,2,FALSE)</f>
        <v>ค่าอะไหล่ซ่อมบำรุงและค่าซ่อมแซมอื่นๆ</v>
      </c>
      <c r="D869" t="s">
        <v>968</v>
      </c>
      <c r="H869" t="s">
        <v>975</v>
      </c>
      <c r="I869" s="23">
        <v>9500</v>
      </c>
    </row>
    <row r="870" spans="1:10">
      <c r="A870" s="2">
        <v>242284</v>
      </c>
      <c r="B870" s="7" t="s">
        <v>3</v>
      </c>
      <c r="C870" s="3" t="str">
        <f>VLOOKUP(B870,'Accounts chart'!$A:$B,2,FALSE)</f>
        <v>ธนาคารกสิกรไทย SA-040-1-56500-0</v>
      </c>
      <c r="D870" t="s">
        <v>968</v>
      </c>
      <c r="H870" t="s">
        <v>975</v>
      </c>
      <c r="I870" s="23">
        <v>500</v>
      </c>
    </row>
    <row r="871" spans="1:10">
      <c r="A871" s="2">
        <v>242284</v>
      </c>
      <c r="B871" s="7" t="s">
        <v>8</v>
      </c>
      <c r="C871" s="3" t="str">
        <f>VLOOKUP(B871,'Accounts chart'!$A:$B,2,FALSE)</f>
        <v>เงินทดลองจ่าย (สำรองจ่าย)</v>
      </c>
      <c r="D871" t="s">
        <v>968</v>
      </c>
      <c r="H871" t="s">
        <v>975</v>
      </c>
      <c r="J871" s="23">
        <v>10000</v>
      </c>
    </row>
    <row r="872" spans="1:10">
      <c r="A872" s="2"/>
      <c r="C872" s="3"/>
    </row>
    <row r="873" spans="1:10">
      <c r="A873" s="2"/>
      <c r="C873" s="3"/>
    </row>
    <row r="874" spans="1:10">
      <c r="A874" s="2">
        <v>242285</v>
      </c>
      <c r="B874" s="7" t="s">
        <v>3</v>
      </c>
      <c r="C874" s="3" t="str">
        <f>VLOOKUP(B874,'Accounts chart'!$A:$B,2,FALSE)</f>
        <v>ธนาคารกสิกรไทย SA-040-1-56500-0</v>
      </c>
      <c r="E874" t="s">
        <v>858</v>
      </c>
      <c r="F874" t="s">
        <v>132</v>
      </c>
      <c r="G874" t="str">
        <f>VLOOKUP(F874,รายชื่อลูกบ้าน!$A:$B,2,FALSE)</f>
        <v>คุณสมหมาย เงินสมบัติ</v>
      </c>
      <c r="H874" t="s">
        <v>665</v>
      </c>
      <c r="I874" s="23">
        <v>600</v>
      </c>
    </row>
    <row r="875" spans="1:10">
      <c r="A875" s="2">
        <v>242285</v>
      </c>
      <c r="B875" s="7" t="s">
        <v>34</v>
      </c>
      <c r="C875" s="3" t="str">
        <f>VLOOKUP(B875,'Accounts chart'!$A:$B,2,FALSE)</f>
        <v>รายรับค่าส่วนกลาง</v>
      </c>
      <c r="E875" t="s">
        <v>858</v>
      </c>
      <c r="F875" t="s">
        <v>132</v>
      </c>
      <c r="G875" t="str">
        <f>VLOOKUP(F875,รายชื่อลูกบ้าน!$A:$B,2,FALSE)</f>
        <v>คุณสมหมาย เงินสมบัติ</v>
      </c>
      <c r="H875" t="s">
        <v>665</v>
      </c>
      <c r="J875" s="23">
        <v>600</v>
      </c>
    </row>
    <row r="876" spans="1:10">
      <c r="A876" s="2"/>
      <c r="C876" s="3"/>
    </row>
    <row r="877" spans="1:10">
      <c r="A877" s="2">
        <v>242286</v>
      </c>
      <c r="B877" s="7" t="s">
        <v>3</v>
      </c>
      <c r="C877" s="3" t="str">
        <f>VLOOKUP(B877,'Accounts chart'!$A:$B,2,FALSE)</f>
        <v>ธนาคารกสิกรไทย SA-040-1-56500-0</v>
      </c>
      <c r="E877" t="s">
        <v>859</v>
      </c>
      <c r="F877" t="s">
        <v>256</v>
      </c>
      <c r="G877" t="str">
        <f>VLOOKUP(F877,รายชื่อลูกบ้าน!$A:$B,2,FALSE)</f>
        <v>คุณพิชชา ขำสุวรรณ</v>
      </c>
      <c r="H877" t="s">
        <v>837</v>
      </c>
      <c r="I877" s="23">
        <v>1200</v>
      </c>
    </row>
    <row r="878" spans="1:10">
      <c r="A878" s="2">
        <v>242286</v>
      </c>
      <c r="B878" s="7" t="s">
        <v>3</v>
      </c>
      <c r="C878" s="3" t="str">
        <f>VLOOKUP(B878,'Accounts chart'!$A:$B,2,FALSE)</f>
        <v>ธนาคารกสิกรไทย SA-040-1-56500-0</v>
      </c>
      <c r="E878" t="s">
        <v>860</v>
      </c>
      <c r="F878" t="s">
        <v>107</v>
      </c>
      <c r="G878" t="str">
        <f>VLOOKUP(F878,รายชื่อลูกบ้าน!$A:$B,2,FALSE)</f>
        <v>คุณอนันต์ แจ่มจันทร์</v>
      </c>
      <c r="H878" t="s">
        <v>835</v>
      </c>
      <c r="I878" s="23">
        <v>600</v>
      </c>
    </row>
    <row r="879" spans="1:10">
      <c r="A879" s="2">
        <v>242286</v>
      </c>
      <c r="B879" s="7" t="s">
        <v>34</v>
      </c>
      <c r="C879" s="3" t="str">
        <f>VLOOKUP(B879,'Accounts chart'!$A:$B,2,FALSE)</f>
        <v>รายรับค่าส่วนกลาง</v>
      </c>
      <c r="E879" t="s">
        <v>859</v>
      </c>
      <c r="F879" t="s">
        <v>256</v>
      </c>
      <c r="G879" t="str">
        <f>VLOOKUP(F879,รายชื่อลูกบ้าน!$A:$B,2,FALSE)</f>
        <v>คุณพิชชา ขำสุวรรณ</v>
      </c>
      <c r="H879" t="s">
        <v>837</v>
      </c>
      <c r="J879" s="23">
        <v>1200</v>
      </c>
    </row>
    <row r="880" spans="1:10">
      <c r="A880" s="2">
        <v>242286</v>
      </c>
      <c r="B880" s="7" t="s">
        <v>34</v>
      </c>
      <c r="C880" s="3" t="str">
        <f>VLOOKUP(B880,'Accounts chart'!$A:$B,2,FALSE)</f>
        <v>รายรับค่าส่วนกลาง</v>
      </c>
      <c r="E880" t="s">
        <v>860</v>
      </c>
      <c r="F880" t="s">
        <v>107</v>
      </c>
      <c r="G880" t="str">
        <f>VLOOKUP(F880,รายชื่อลูกบ้าน!$A:$B,2,FALSE)</f>
        <v>คุณอนันต์ แจ่มจันทร์</v>
      </c>
      <c r="H880" t="s">
        <v>835</v>
      </c>
      <c r="J880" s="23">
        <v>600</v>
      </c>
    </row>
    <row r="881" spans="1:10">
      <c r="A881" s="2"/>
      <c r="C881" s="3"/>
    </row>
    <row r="882" spans="1:10">
      <c r="A882" s="2">
        <v>242288</v>
      </c>
      <c r="B882" s="7" t="s">
        <v>42</v>
      </c>
      <c r="C882" s="3" t="str">
        <f>VLOOKUP(B882,'Accounts chart'!$A:$B,2,FALSE)</f>
        <v>ค่าอะไหล่ซ่อมบำรุงและค่าซ่อมแซมอื่นๆ</v>
      </c>
      <c r="D882" t="s">
        <v>948</v>
      </c>
      <c r="G882" t="s">
        <v>775</v>
      </c>
      <c r="H882" t="s">
        <v>954</v>
      </c>
      <c r="I882" s="23">
        <v>5162.3</v>
      </c>
    </row>
    <row r="883" spans="1:10">
      <c r="A883" s="2">
        <v>242288</v>
      </c>
      <c r="B883" s="7" t="s">
        <v>2</v>
      </c>
      <c r="C883" s="3" t="str">
        <f>VLOOKUP(B883,'Accounts chart'!$A:$B,2,FALSE)</f>
        <v>ธนาคารกสิกรไทย CA-040-1-57563-4</v>
      </c>
      <c r="D883" t="s">
        <v>948</v>
      </c>
      <c r="G883" t="s">
        <v>775</v>
      </c>
      <c r="H883" t="s">
        <v>954</v>
      </c>
      <c r="J883" s="23">
        <v>5162.3</v>
      </c>
    </row>
    <row r="884" spans="1:10">
      <c r="A884" s="2"/>
      <c r="C884" s="3"/>
    </row>
    <row r="885" spans="1:10">
      <c r="A885" s="2">
        <v>242288</v>
      </c>
      <c r="B885" s="7" t="s">
        <v>20</v>
      </c>
      <c r="C885" s="3" t="str">
        <f>VLOOKUP(B885,'Accounts chart'!$A:$B,2,FALSE)</f>
        <v>ค่าไฟฟ้าค้างจ่าย</v>
      </c>
      <c r="D885" t="s">
        <v>949</v>
      </c>
      <c r="G885" t="s">
        <v>777</v>
      </c>
      <c r="H885" t="s">
        <v>955</v>
      </c>
      <c r="I885" s="23">
        <v>5777.06</v>
      </c>
    </row>
    <row r="886" spans="1:10">
      <c r="A886" s="2">
        <v>242288</v>
      </c>
      <c r="B886" s="7" t="s">
        <v>2</v>
      </c>
      <c r="C886" s="3" t="str">
        <f>VLOOKUP(B886,'Accounts chart'!$A:$B,2,FALSE)</f>
        <v>ธนาคารกสิกรไทย CA-040-1-57563-4</v>
      </c>
      <c r="D886" t="s">
        <v>949</v>
      </c>
      <c r="G886" t="s">
        <v>777</v>
      </c>
      <c r="H886" t="s">
        <v>955</v>
      </c>
      <c r="J886" s="23">
        <v>5777.06</v>
      </c>
    </row>
    <row r="887" spans="1:10">
      <c r="A887" s="2"/>
      <c r="C887" s="3"/>
    </row>
    <row r="888" spans="1:10">
      <c r="A888" s="2">
        <v>242288</v>
      </c>
      <c r="B888" s="7" t="s">
        <v>18</v>
      </c>
      <c r="C888" s="3" t="str">
        <f>VLOOKUP(B888,'Accounts chart'!$A:$B,2,FALSE)</f>
        <v>ค่ารักษาความปลอดภัยค้างจ่าย</v>
      </c>
      <c r="D888" t="s">
        <v>950</v>
      </c>
      <c r="G888" t="s">
        <v>377</v>
      </c>
      <c r="H888" t="s">
        <v>956</v>
      </c>
      <c r="I888" s="23">
        <v>38814.32</v>
      </c>
    </row>
    <row r="889" spans="1:10">
      <c r="A889" s="2">
        <v>242288</v>
      </c>
      <c r="B889" s="7" t="s">
        <v>2</v>
      </c>
      <c r="C889" s="3" t="str">
        <f>VLOOKUP(B889,'Accounts chart'!$A:$B,2,FALSE)</f>
        <v>ธนาคารกสิกรไทย CA-040-1-57563-4</v>
      </c>
      <c r="D889" t="s">
        <v>950</v>
      </c>
      <c r="G889" t="s">
        <v>377</v>
      </c>
      <c r="H889" t="s">
        <v>956</v>
      </c>
      <c r="J889" s="23">
        <v>38814.32</v>
      </c>
    </row>
    <row r="890" spans="1:10">
      <c r="A890" s="2"/>
      <c r="C890" s="3"/>
    </row>
    <row r="891" spans="1:10">
      <c r="A891" s="2">
        <v>242288</v>
      </c>
      <c r="B891" s="7" t="s">
        <v>14</v>
      </c>
      <c r="C891" s="3" t="str">
        <f>VLOOKUP(B891,'Accounts chart'!$A:$B,2,FALSE)</f>
        <v>ค่าเก็บขยะค้างจ่าย</v>
      </c>
      <c r="D891" t="s">
        <v>951</v>
      </c>
      <c r="G891" t="s">
        <v>943</v>
      </c>
      <c r="H891" t="s">
        <v>957</v>
      </c>
      <c r="I891" s="23">
        <v>3000</v>
      </c>
    </row>
    <row r="892" spans="1:10">
      <c r="A892" s="2">
        <v>242288</v>
      </c>
      <c r="B892" s="7" t="s">
        <v>2</v>
      </c>
      <c r="C892" s="3" t="str">
        <f>VLOOKUP(B892,'Accounts chart'!$A:$B,2,FALSE)</f>
        <v>ธนาคารกสิกรไทย CA-040-1-57563-4</v>
      </c>
      <c r="D892" t="s">
        <v>951</v>
      </c>
      <c r="G892" t="s">
        <v>943</v>
      </c>
      <c r="H892" t="s">
        <v>957</v>
      </c>
      <c r="J892" s="23">
        <v>3000</v>
      </c>
    </row>
    <row r="893" spans="1:10">
      <c r="A893" s="2"/>
      <c r="C893" s="3"/>
    </row>
    <row r="894" spans="1:10">
      <c r="A894" s="2">
        <v>242288</v>
      </c>
      <c r="B894" s="7" t="s">
        <v>22</v>
      </c>
      <c r="C894" s="3" t="str">
        <f>VLOOKUP(B894,'Accounts chart'!$A:$B,2,FALSE)</f>
        <v>ค่าดูแลส่วนกลางค้างจ่าย</v>
      </c>
      <c r="D894" t="s">
        <v>952</v>
      </c>
      <c r="G894" t="s">
        <v>771</v>
      </c>
      <c r="H894" t="s">
        <v>958</v>
      </c>
      <c r="I894" s="23">
        <v>15000</v>
      </c>
    </row>
    <row r="895" spans="1:10">
      <c r="A895" s="2">
        <v>242288</v>
      </c>
      <c r="B895" s="7" t="s">
        <v>3</v>
      </c>
      <c r="C895" s="3" t="str">
        <f>VLOOKUP(B895,'Accounts chart'!$A:$B,2,FALSE)</f>
        <v>ธนาคารกสิกรไทย SA-040-1-56500-0</v>
      </c>
      <c r="D895" t="s">
        <v>952</v>
      </c>
      <c r="G895" t="s">
        <v>771</v>
      </c>
      <c r="H895" t="s">
        <v>958</v>
      </c>
      <c r="J895" s="23">
        <v>15000</v>
      </c>
    </row>
    <row r="896" spans="1:10">
      <c r="A896" s="2"/>
      <c r="C896" s="3"/>
    </row>
    <row r="897" spans="1:10">
      <c r="A897" s="2">
        <v>242288</v>
      </c>
      <c r="B897" s="7" t="s">
        <v>2</v>
      </c>
      <c r="C897" s="3" t="str">
        <f>VLOOKUP(B897,'Accounts chart'!$A:$B,2,FALSE)</f>
        <v>ธนาคารกสิกรไทย CA-040-1-57563-4</v>
      </c>
      <c r="D897" t="s">
        <v>953</v>
      </c>
      <c r="H897" t="s">
        <v>788</v>
      </c>
      <c r="I897" s="23">
        <v>100000</v>
      </c>
    </row>
    <row r="898" spans="1:10">
      <c r="A898" s="2">
        <v>242288</v>
      </c>
      <c r="B898" s="7" t="s">
        <v>3</v>
      </c>
      <c r="C898" s="3" t="str">
        <f>VLOOKUP(B898,'Accounts chart'!$A:$B,2,FALSE)</f>
        <v>ธนาคารกสิกรไทย SA-040-1-56500-0</v>
      </c>
      <c r="D898" t="s">
        <v>953</v>
      </c>
      <c r="H898" t="s">
        <v>788</v>
      </c>
      <c r="J898" s="23">
        <v>100000</v>
      </c>
    </row>
    <row r="899" spans="1:10">
      <c r="A899" s="2"/>
      <c r="C899" s="3"/>
    </row>
    <row r="900" spans="1:10">
      <c r="A900" s="2">
        <v>242290</v>
      </c>
      <c r="B900" s="7" t="s">
        <v>3</v>
      </c>
      <c r="C900" s="3" t="str">
        <f>VLOOKUP(B900,'Accounts chart'!$A:$B,2,FALSE)</f>
        <v>ธนาคารกสิกรไทย SA-040-1-56500-0</v>
      </c>
      <c r="E900" t="s">
        <v>861</v>
      </c>
      <c r="F900" t="s">
        <v>279</v>
      </c>
      <c r="G900" t="str">
        <f>VLOOKUP(F900,รายชื่อลูกบ้าน!$A:$B,2,FALSE)</f>
        <v>คุณเสกสิทธิ์ คำธานี</v>
      </c>
      <c r="H900" t="s">
        <v>665</v>
      </c>
      <c r="I900" s="23">
        <v>600</v>
      </c>
    </row>
    <row r="901" spans="1:10">
      <c r="A901" s="2">
        <v>242290</v>
      </c>
      <c r="B901" s="7" t="s">
        <v>34</v>
      </c>
      <c r="C901" s="3" t="str">
        <f>VLOOKUP(B901,'Accounts chart'!$A:$B,2,FALSE)</f>
        <v>รายรับค่าส่วนกลาง</v>
      </c>
      <c r="E901" t="s">
        <v>861</v>
      </c>
      <c r="F901" t="s">
        <v>279</v>
      </c>
      <c r="G901" t="str">
        <f>VLOOKUP(F901,รายชื่อลูกบ้าน!$A:$B,2,FALSE)</f>
        <v>คุณเสกสิทธิ์ คำธานี</v>
      </c>
      <c r="H901" t="s">
        <v>665</v>
      </c>
      <c r="J901" s="23">
        <v>600</v>
      </c>
    </row>
    <row r="902" spans="1:10">
      <c r="A902" s="2"/>
      <c r="C902" s="3"/>
    </row>
    <row r="903" spans="1:10">
      <c r="A903" s="2">
        <v>242292</v>
      </c>
      <c r="B903" s="7" t="s">
        <v>3</v>
      </c>
      <c r="C903" s="3" t="str">
        <f>VLOOKUP(B903,'Accounts chart'!$A:$B,2,FALSE)</f>
        <v>ธนาคารกสิกรไทย SA-040-1-56500-0</v>
      </c>
      <c r="E903" t="s">
        <v>862</v>
      </c>
      <c r="F903" t="s">
        <v>159</v>
      </c>
      <c r="G903" t="str">
        <f>VLOOKUP(F903,รายชื่อลูกบ้าน!$A:$B,2,FALSE)</f>
        <v>คุณอดุลย์ แก้วอำไพ</v>
      </c>
      <c r="H903" t="s">
        <v>835</v>
      </c>
      <c r="I903" s="23">
        <v>600</v>
      </c>
    </row>
    <row r="904" spans="1:10">
      <c r="A904" s="2">
        <v>242292</v>
      </c>
      <c r="B904" s="7" t="s">
        <v>34</v>
      </c>
      <c r="C904" s="3" t="str">
        <f>VLOOKUP(B904,'Accounts chart'!$A:$B,2,FALSE)</f>
        <v>รายรับค่าส่วนกลาง</v>
      </c>
      <c r="E904" t="s">
        <v>862</v>
      </c>
      <c r="F904" t="s">
        <v>159</v>
      </c>
      <c r="G904" t="str">
        <f>VLOOKUP(F904,รายชื่อลูกบ้าน!$A:$B,2,FALSE)</f>
        <v>คุณอดุลย์ แก้วอำไพ</v>
      </c>
      <c r="H904" t="s">
        <v>835</v>
      </c>
      <c r="J904" s="23">
        <v>600</v>
      </c>
    </row>
    <row r="905" spans="1:10">
      <c r="A905" s="2"/>
      <c r="C905" s="3"/>
    </row>
    <row r="906" spans="1:10">
      <c r="A906" s="2">
        <v>242295</v>
      </c>
      <c r="B906" s="7" t="s">
        <v>3</v>
      </c>
      <c r="C906" s="3" t="str">
        <f>VLOOKUP(B906,'Accounts chart'!$A:$B,2,FALSE)</f>
        <v>ธนาคารกสิกรไทย SA-040-1-56500-0</v>
      </c>
      <c r="E906" t="s">
        <v>863</v>
      </c>
      <c r="F906" t="s">
        <v>271</v>
      </c>
      <c r="G906" t="str">
        <f>VLOOKUP(F906,รายชื่อลูกบ้าน!$A:$B,2,FALSE)</f>
        <v>คุณรัสรินทร์ ปัญญาส่งสวัสดิ์</v>
      </c>
      <c r="H906" t="s">
        <v>900</v>
      </c>
      <c r="I906" s="23">
        <v>1800</v>
      </c>
    </row>
    <row r="907" spans="1:10">
      <c r="A907" s="2">
        <v>242295</v>
      </c>
      <c r="B907" s="7" t="s">
        <v>3</v>
      </c>
      <c r="C907" s="3" t="str">
        <f>VLOOKUP(B907,'Accounts chart'!$A:$B,2,FALSE)</f>
        <v>ธนาคารกสิกรไทย SA-040-1-56500-0</v>
      </c>
      <c r="E907" t="s">
        <v>864</v>
      </c>
      <c r="F907" t="s">
        <v>317</v>
      </c>
      <c r="G907" t="str">
        <f>VLOOKUP(F907,รายชื่อลูกบ้าน!$A:$B,2,FALSE)</f>
        <v>คุณจิระศักดิ์ จันทร์โท</v>
      </c>
      <c r="H907" t="s">
        <v>835</v>
      </c>
      <c r="I907" s="23">
        <v>600</v>
      </c>
    </row>
    <row r="908" spans="1:10">
      <c r="A908" s="2">
        <v>242295</v>
      </c>
      <c r="B908" s="7" t="s">
        <v>34</v>
      </c>
      <c r="C908" s="3" t="str">
        <f>VLOOKUP(B908,'Accounts chart'!$A:$B,2,FALSE)</f>
        <v>รายรับค่าส่วนกลาง</v>
      </c>
      <c r="E908" t="s">
        <v>863</v>
      </c>
      <c r="F908" t="s">
        <v>271</v>
      </c>
      <c r="G908" t="str">
        <f>VLOOKUP(F908,รายชื่อลูกบ้าน!$A:$B,2,FALSE)</f>
        <v>คุณรัสรินทร์ ปัญญาส่งสวัสดิ์</v>
      </c>
      <c r="H908" t="s">
        <v>900</v>
      </c>
      <c r="J908" s="23">
        <v>1800</v>
      </c>
    </row>
    <row r="909" spans="1:10">
      <c r="A909" s="2">
        <v>242295</v>
      </c>
      <c r="B909" s="7" t="s">
        <v>34</v>
      </c>
      <c r="C909" s="3" t="str">
        <f>VLOOKUP(B909,'Accounts chart'!$A:$B,2,FALSE)</f>
        <v>รายรับค่าส่วนกลาง</v>
      </c>
      <c r="E909" t="s">
        <v>864</v>
      </c>
      <c r="F909" t="s">
        <v>317</v>
      </c>
      <c r="G909" t="str">
        <f>VLOOKUP(F909,รายชื่อลูกบ้าน!$A:$B,2,FALSE)</f>
        <v>คุณจิระศักดิ์ จันทร์โท</v>
      </c>
      <c r="H909" t="s">
        <v>835</v>
      </c>
      <c r="J909" s="23">
        <v>600</v>
      </c>
    </row>
    <row r="910" spans="1:10">
      <c r="A910" s="2"/>
      <c r="C910" s="3"/>
    </row>
    <row r="911" spans="1:10">
      <c r="A911" s="2">
        <v>242296</v>
      </c>
      <c r="B911" s="7" t="s">
        <v>3</v>
      </c>
      <c r="C911" s="3" t="str">
        <f>VLOOKUP(B911,'Accounts chart'!$A:$B,2,FALSE)</f>
        <v>ธนาคารกสิกรไทย SA-040-1-56500-0</v>
      </c>
      <c r="E911" t="s">
        <v>865</v>
      </c>
      <c r="F911" t="s">
        <v>367</v>
      </c>
      <c r="G911" t="str">
        <f>VLOOKUP(F911,รายชื่อลูกบ้าน!$A:$B,2,FALSE)</f>
        <v>คุณเพ็ญศรี ศรีละ</v>
      </c>
      <c r="H911" t="s">
        <v>901</v>
      </c>
      <c r="I911" s="23">
        <v>3000</v>
      </c>
    </row>
    <row r="912" spans="1:10">
      <c r="A912" s="2">
        <v>242296</v>
      </c>
      <c r="B912" s="7" t="s">
        <v>34</v>
      </c>
      <c r="C912" s="3" t="str">
        <f>VLOOKUP(B912,'Accounts chart'!$A:$B,2,FALSE)</f>
        <v>รายรับค่าส่วนกลาง</v>
      </c>
      <c r="E912" t="s">
        <v>865</v>
      </c>
      <c r="F912" t="s">
        <v>367</v>
      </c>
      <c r="G912" t="str">
        <f>VLOOKUP(F912,รายชื่อลูกบ้าน!$A:$B,2,FALSE)</f>
        <v>คุณเพ็ญศรี ศรีละ</v>
      </c>
      <c r="H912" t="s">
        <v>901</v>
      </c>
      <c r="J912" s="23">
        <v>3000</v>
      </c>
    </row>
    <row r="913" spans="1:10">
      <c r="A913" s="2"/>
      <c r="C913" s="3"/>
    </row>
    <row r="914" spans="1:10">
      <c r="A914" s="2">
        <v>242301</v>
      </c>
      <c r="B914" s="7" t="s">
        <v>3</v>
      </c>
      <c r="C914" s="3" t="str">
        <f>VLOOKUP(B914,'Accounts chart'!$A:$B,2,FALSE)</f>
        <v>ธนาคารกสิกรไทย SA-040-1-56500-0</v>
      </c>
      <c r="E914" t="s">
        <v>866</v>
      </c>
      <c r="F914" t="s">
        <v>117</v>
      </c>
      <c r="G914" t="str">
        <f>VLOOKUP(F914,รายชื่อลูกบ้าน!$A:$B,2,FALSE)</f>
        <v>คุณธนัญกรณ์ ทาสระคู</v>
      </c>
      <c r="H914" t="s">
        <v>902</v>
      </c>
      <c r="I914" s="23">
        <v>1800</v>
      </c>
    </row>
    <row r="915" spans="1:10">
      <c r="A915" s="2">
        <v>242301</v>
      </c>
      <c r="B915" s="7" t="s">
        <v>3</v>
      </c>
      <c r="C915" s="3" t="str">
        <f>VLOOKUP(B915,'Accounts chart'!$A:$B,2,FALSE)</f>
        <v>ธนาคารกสิกรไทย SA-040-1-56500-0</v>
      </c>
      <c r="E915" t="s">
        <v>867</v>
      </c>
      <c r="F915" t="s">
        <v>141</v>
      </c>
      <c r="G915" t="str">
        <f>VLOOKUP(F915,รายชื่อลูกบ้าน!$A:$B,2,FALSE)</f>
        <v>คุณประวิทย์ จิตประสงค์</v>
      </c>
      <c r="H915" t="s">
        <v>383</v>
      </c>
      <c r="I915" s="23">
        <v>7200</v>
      </c>
    </row>
    <row r="916" spans="1:10">
      <c r="A916" s="25">
        <v>242301</v>
      </c>
      <c r="B916" s="26" t="s">
        <v>3</v>
      </c>
      <c r="C916" s="27" t="str">
        <f>VLOOKUP(B916,'Accounts chart'!$A:$B,2,FALSE)</f>
        <v>ธนาคารกสิกรไทย SA-040-1-56500-0</v>
      </c>
      <c r="D916" s="4"/>
      <c r="E916" s="4" t="s">
        <v>868</v>
      </c>
      <c r="F916" s="4" t="s">
        <v>834</v>
      </c>
      <c r="G916" s="4" t="e">
        <f>VLOOKUP(F916,รายชื่อลูกบ้าน!$A:$B,2,FALSE)</f>
        <v>#N/A</v>
      </c>
      <c r="H916" s="4" t="s">
        <v>834</v>
      </c>
      <c r="I916" s="28">
        <v>4200</v>
      </c>
      <c r="J916" s="28"/>
    </row>
    <row r="917" spans="1:10">
      <c r="A917" s="2">
        <v>242301</v>
      </c>
      <c r="B917" s="7" t="s">
        <v>3</v>
      </c>
      <c r="C917" s="3" t="str">
        <f>VLOOKUP(B917,'Accounts chart'!$A:$B,2,FALSE)</f>
        <v>ธนาคารกสิกรไทย SA-040-1-56500-0</v>
      </c>
      <c r="E917" t="s">
        <v>869</v>
      </c>
      <c r="F917" t="s">
        <v>241</v>
      </c>
      <c r="G917" t="str">
        <f>VLOOKUP(F917,รายชื่อลูกบ้าน!$A:$B,2,FALSE)</f>
        <v>คุณสุกิจ หมื่นยศ</v>
      </c>
      <c r="H917" t="s">
        <v>835</v>
      </c>
      <c r="I917" s="23">
        <v>600</v>
      </c>
    </row>
    <row r="918" spans="1:10">
      <c r="A918" s="2">
        <v>242301</v>
      </c>
      <c r="B918" s="7" t="s">
        <v>34</v>
      </c>
      <c r="C918" s="3" t="str">
        <f>VLOOKUP(B918,'Accounts chart'!$A:$B,2,FALSE)</f>
        <v>รายรับค่าส่วนกลาง</v>
      </c>
      <c r="E918" t="s">
        <v>866</v>
      </c>
      <c r="F918" t="s">
        <v>117</v>
      </c>
      <c r="G918" t="str">
        <f>VLOOKUP(F918,รายชื่อลูกบ้าน!$A:$B,2,FALSE)</f>
        <v>คุณธนัญกรณ์ ทาสระคู</v>
      </c>
      <c r="H918" t="s">
        <v>902</v>
      </c>
      <c r="J918" s="23">
        <v>1800</v>
      </c>
    </row>
    <row r="919" spans="1:10">
      <c r="A919" s="2">
        <v>242301</v>
      </c>
      <c r="B919" s="7" t="s">
        <v>34</v>
      </c>
      <c r="C919" s="3" t="str">
        <f>VLOOKUP(B919,'Accounts chart'!$A:$B,2,FALSE)</f>
        <v>รายรับค่าส่วนกลาง</v>
      </c>
      <c r="E919" t="s">
        <v>867</v>
      </c>
      <c r="F919" t="s">
        <v>141</v>
      </c>
      <c r="G919" t="str">
        <f>VLOOKUP(F919,รายชื่อลูกบ้าน!$A:$B,2,FALSE)</f>
        <v>คุณประวิทย์ จิตประสงค์</v>
      </c>
      <c r="H919" t="s">
        <v>383</v>
      </c>
      <c r="J919" s="23">
        <v>7200</v>
      </c>
    </row>
    <row r="920" spans="1:10">
      <c r="A920" s="25">
        <v>242301</v>
      </c>
      <c r="B920" s="26" t="s">
        <v>26</v>
      </c>
      <c r="C920" s="27" t="str">
        <f>VLOOKUP(B920,'Accounts chart'!$A:$B,2,FALSE)</f>
        <v>รายได้ค่าส่วนกลางไม่ทราบชือ</v>
      </c>
      <c r="D920" s="4"/>
      <c r="E920" s="4" t="s">
        <v>868</v>
      </c>
      <c r="F920" s="4" t="s">
        <v>834</v>
      </c>
      <c r="G920" s="4" t="e">
        <f>VLOOKUP(F920,รายชื่อลูกบ้าน!$A:$B,2,FALSE)</f>
        <v>#N/A</v>
      </c>
      <c r="H920" s="4" t="s">
        <v>834</v>
      </c>
      <c r="I920" s="28"/>
      <c r="J920" s="28">
        <v>4200</v>
      </c>
    </row>
    <row r="921" spans="1:10">
      <c r="A921" s="2">
        <v>242301</v>
      </c>
      <c r="B921" s="7" t="s">
        <v>34</v>
      </c>
      <c r="C921" s="3" t="str">
        <f>VLOOKUP(B921,'Accounts chart'!$A:$B,2,FALSE)</f>
        <v>รายรับค่าส่วนกลาง</v>
      </c>
      <c r="E921" t="s">
        <v>869</v>
      </c>
      <c r="F921" t="s">
        <v>241</v>
      </c>
      <c r="G921" t="str">
        <f>VLOOKUP(F921,รายชื่อลูกบ้าน!$A:$B,2,FALSE)</f>
        <v>คุณสุกิจ หมื่นยศ</v>
      </c>
      <c r="H921" t="s">
        <v>835</v>
      </c>
      <c r="J921" s="23">
        <v>600</v>
      </c>
    </row>
    <row r="922" spans="1:10">
      <c r="A922" s="2"/>
      <c r="C922" s="3"/>
    </row>
    <row r="923" spans="1:10">
      <c r="A923" s="2">
        <v>242302</v>
      </c>
      <c r="B923" s="7" t="s">
        <v>3</v>
      </c>
      <c r="C923" s="3" t="str">
        <f>VLOOKUP(B923,'Accounts chart'!$A:$B,2,FALSE)</f>
        <v>ธนาคารกสิกรไทย SA-040-1-56500-0</v>
      </c>
      <c r="E923" t="s">
        <v>870</v>
      </c>
      <c r="F923" t="s">
        <v>251</v>
      </c>
      <c r="G923" t="str">
        <f>VLOOKUP(F923,รายชื่อลูกบ้าน!$A:$B,2,FALSE)</f>
        <v>คุณวิบูลย์ ฤทธิ์ทองพิทักษ์</v>
      </c>
      <c r="H923" t="s">
        <v>835</v>
      </c>
      <c r="I923" s="23">
        <v>600</v>
      </c>
    </row>
    <row r="924" spans="1:10">
      <c r="A924" s="2">
        <v>242302</v>
      </c>
      <c r="B924" s="7" t="s">
        <v>3</v>
      </c>
      <c r="C924" s="3" t="str">
        <f>VLOOKUP(B924,'Accounts chart'!$A:$B,2,FALSE)</f>
        <v>ธนาคารกสิกรไทย SA-040-1-56500-0</v>
      </c>
      <c r="E924" t="s">
        <v>871</v>
      </c>
      <c r="F924" t="s">
        <v>182</v>
      </c>
      <c r="G924" t="str">
        <f>VLOOKUP(F924,รายชื่อลูกบ้าน!$A:$B,2,FALSE)</f>
        <v>คุณสิระพัชร์ หน่อแก้ว</v>
      </c>
      <c r="H924" t="s">
        <v>835</v>
      </c>
      <c r="I924" s="23">
        <v>600.53</v>
      </c>
    </row>
    <row r="925" spans="1:10">
      <c r="A925" s="2">
        <v>242302</v>
      </c>
      <c r="B925" s="7" t="s">
        <v>3</v>
      </c>
      <c r="C925" s="3" t="str">
        <f>VLOOKUP(B925,'Accounts chart'!$A:$B,2,FALSE)</f>
        <v>ธนาคารกสิกรไทย SA-040-1-56500-0</v>
      </c>
      <c r="E925" t="s">
        <v>872</v>
      </c>
      <c r="F925" t="s">
        <v>331</v>
      </c>
      <c r="G925" t="str">
        <f>VLOOKUP(F925,รายชื่อลูกบ้าน!$A:$B,2,FALSE)</f>
        <v>คุณวชิระ ช่างแก้ว</v>
      </c>
      <c r="H925" t="s">
        <v>903</v>
      </c>
      <c r="I925" s="23">
        <v>1200</v>
      </c>
    </row>
    <row r="926" spans="1:10">
      <c r="A926" s="2">
        <v>242302</v>
      </c>
      <c r="B926" s="7" t="s">
        <v>3</v>
      </c>
      <c r="C926" s="3" t="str">
        <f>VLOOKUP(B926,'Accounts chart'!$A:$B,2,FALSE)</f>
        <v>ธนาคารกสิกรไทย SA-040-1-56500-0</v>
      </c>
      <c r="E926" t="s">
        <v>873</v>
      </c>
      <c r="F926" t="s">
        <v>362</v>
      </c>
      <c r="G926" t="str">
        <f>VLOOKUP(F926,รายชื่อลูกบ้าน!$A:$B,2,FALSE)</f>
        <v>คุณพีรภัทร์ ศัสตราพฤกษ์</v>
      </c>
      <c r="H926" t="s">
        <v>835</v>
      </c>
      <c r="I926" s="23">
        <v>600</v>
      </c>
    </row>
    <row r="927" spans="1:10">
      <c r="A927" s="25">
        <v>242302</v>
      </c>
      <c r="B927" s="26" t="s">
        <v>3</v>
      </c>
      <c r="C927" s="27" t="str">
        <f>VLOOKUP(B927,'Accounts chart'!$A:$B,2,FALSE)</f>
        <v>ธนาคารกสิกรไทย SA-040-1-56500-0</v>
      </c>
      <c r="D927" s="4"/>
      <c r="E927" s="4" t="s">
        <v>874</v>
      </c>
      <c r="F927" s="4" t="s">
        <v>834</v>
      </c>
      <c r="G927" s="4" t="e">
        <f>VLOOKUP(F927,รายชื่อลูกบ้าน!$A:$B,2,FALSE)</f>
        <v>#N/A</v>
      </c>
      <c r="H927" s="4" t="s">
        <v>834</v>
      </c>
      <c r="I927" s="28">
        <v>600</v>
      </c>
      <c r="J927" s="28"/>
    </row>
    <row r="928" spans="1:10">
      <c r="A928" s="25">
        <v>242302</v>
      </c>
      <c r="B928" s="26" t="s">
        <v>3</v>
      </c>
      <c r="C928" s="27" t="str">
        <f>VLOOKUP(B928,'Accounts chart'!$A:$B,2,FALSE)</f>
        <v>ธนาคารกสิกรไทย SA-040-1-56500-0</v>
      </c>
      <c r="D928" s="4"/>
      <c r="E928" s="4" t="s">
        <v>875</v>
      </c>
      <c r="F928" s="4" t="s">
        <v>834</v>
      </c>
      <c r="G928" s="4" t="e">
        <f>VLOOKUP(F928,รายชื่อลูกบ้าน!$A:$B,2,FALSE)</f>
        <v>#N/A</v>
      </c>
      <c r="H928" s="4" t="s">
        <v>834</v>
      </c>
      <c r="I928" s="28">
        <v>600</v>
      </c>
      <c r="J928" s="28"/>
    </row>
    <row r="929" spans="1:10">
      <c r="A929" s="2">
        <v>242302</v>
      </c>
      <c r="B929" s="7" t="s">
        <v>34</v>
      </c>
      <c r="C929" s="3" t="str">
        <f>VLOOKUP(B929,'Accounts chart'!$A:$B,2,FALSE)</f>
        <v>รายรับค่าส่วนกลาง</v>
      </c>
      <c r="E929" t="s">
        <v>870</v>
      </c>
      <c r="F929" t="s">
        <v>251</v>
      </c>
      <c r="G929" t="str">
        <f>VLOOKUP(F929,รายชื่อลูกบ้าน!$A:$B,2,FALSE)</f>
        <v>คุณวิบูลย์ ฤทธิ์ทองพิทักษ์</v>
      </c>
      <c r="H929" t="s">
        <v>835</v>
      </c>
      <c r="I929"/>
      <c r="J929" s="23">
        <v>600</v>
      </c>
    </row>
    <row r="930" spans="1:10">
      <c r="A930" s="2">
        <v>242302</v>
      </c>
      <c r="B930" s="7" t="s">
        <v>34</v>
      </c>
      <c r="C930" s="3" t="str">
        <f>VLOOKUP(B930,'Accounts chart'!$A:$B,2,FALSE)</f>
        <v>รายรับค่าส่วนกลาง</v>
      </c>
      <c r="E930" t="s">
        <v>871</v>
      </c>
      <c r="F930" t="s">
        <v>182</v>
      </c>
      <c r="G930" t="str">
        <f>VLOOKUP(F930,รายชื่อลูกบ้าน!$A:$B,2,FALSE)</f>
        <v>คุณสิระพัชร์ หน่อแก้ว</v>
      </c>
      <c r="H930" t="s">
        <v>835</v>
      </c>
      <c r="I930"/>
      <c r="J930" s="23">
        <v>600.53</v>
      </c>
    </row>
    <row r="931" spans="1:10">
      <c r="A931" s="2">
        <v>242302</v>
      </c>
      <c r="B931" s="7" t="s">
        <v>34</v>
      </c>
      <c r="C931" s="3" t="str">
        <f>VLOOKUP(B931,'Accounts chart'!$A:$B,2,FALSE)</f>
        <v>รายรับค่าส่วนกลาง</v>
      </c>
      <c r="E931" t="s">
        <v>872</v>
      </c>
      <c r="F931" t="s">
        <v>331</v>
      </c>
      <c r="G931" t="str">
        <f>VLOOKUP(F931,รายชื่อลูกบ้าน!$A:$B,2,FALSE)</f>
        <v>คุณวชิระ ช่างแก้ว</v>
      </c>
      <c r="H931" t="s">
        <v>903</v>
      </c>
      <c r="I931"/>
      <c r="J931" s="23">
        <v>1200</v>
      </c>
    </row>
    <row r="932" spans="1:10">
      <c r="A932" s="2">
        <v>242302</v>
      </c>
      <c r="B932" s="7" t="s">
        <v>34</v>
      </c>
      <c r="C932" s="3" t="str">
        <f>VLOOKUP(B932,'Accounts chart'!$A:$B,2,FALSE)</f>
        <v>รายรับค่าส่วนกลาง</v>
      </c>
      <c r="E932" t="s">
        <v>873</v>
      </c>
      <c r="F932" t="s">
        <v>362</v>
      </c>
      <c r="G932" t="str">
        <f>VLOOKUP(F932,รายชื่อลูกบ้าน!$A:$B,2,FALSE)</f>
        <v>คุณพีรภัทร์ ศัสตราพฤกษ์</v>
      </c>
      <c r="H932" t="s">
        <v>835</v>
      </c>
      <c r="I932"/>
      <c r="J932" s="23">
        <v>600</v>
      </c>
    </row>
    <row r="933" spans="1:10">
      <c r="A933" s="25">
        <v>242302</v>
      </c>
      <c r="B933" s="26" t="s">
        <v>26</v>
      </c>
      <c r="C933" s="27" t="str">
        <f>VLOOKUP(B933,'Accounts chart'!$A:$B,2,FALSE)</f>
        <v>รายได้ค่าส่วนกลางไม่ทราบชือ</v>
      </c>
      <c r="D933" s="4"/>
      <c r="E933" s="4" t="s">
        <v>874</v>
      </c>
      <c r="F933" s="4" t="s">
        <v>834</v>
      </c>
      <c r="G933" s="4" t="e">
        <f>VLOOKUP(F933,รายชื่อลูกบ้าน!$A:$B,2,FALSE)</f>
        <v>#N/A</v>
      </c>
      <c r="H933" s="4" t="s">
        <v>834</v>
      </c>
      <c r="I933" s="4"/>
      <c r="J933" s="28">
        <v>600</v>
      </c>
    </row>
    <row r="934" spans="1:10">
      <c r="A934" s="25">
        <v>242302</v>
      </c>
      <c r="B934" s="26" t="s">
        <v>26</v>
      </c>
      <c r="C934" s="27" t="str">
        <f>VLOOKUP(B934,'Accounts chart'!$A:$B,2,FALSE)</f>
        <v>รายได้ค่าส่วนกลางไม่ทราบชือ</v>
      </c>
      <c r="D934" s="4"/>
      <c r="E934" s="4" t="s">
        <v>875</v>
      </c>
      <c r="F934" s="4" t="s">
        <v>834</v>
      </c>
      <c r="G934" s="4" t="e">
        <f>VLOOKUP(F934,รายชื่อลูกบ้าน!$A:$B,2,FALSE)</f>
        <v>#N/A</v>
      </c>
      <c r="H934" s="4" t="s">
        <v>834</v>
      </c>
      <c r="I934" s="4"/>
      <c r="J934" s="28">
        <v>600</v>
      </c>
    </row>
    <row r="935" spans="1:10">
      <c r="A935" s="2"/>
      <c r="C935" s="3"/>
      <c r="I935" s="20"/>
      <c r="J935" s="20"/>
    </row>
    <row r="936" spans="1:10">
      <c r="A936" s="25">
        <v>242303</v>
      </c>
      <c r="B936" s="26" t="s">
        <v>3</v>
      </c>
      <c r="C936" s="27" t="str">
        <f>VLOOKUP(B936,'Accounts chart'!$A:$B,2,FALSE)</f>
        <v>ธนาคารกสิกรไทย SA-040-1-56500-0</v>
      </c>
      <c r="D936" s="4"/>
      <c r="E936" s="4" t="s">
        <v>876</v>
      </c>
      <c r="F936" s="4" t="s">
        <v>834</v>
      </c>
      <c r="G936" s="4" t="e">
        <f>VLOOKUP(F936,รายชื่อลูกบ้าน!$A:$B,2,FALSE)</f>
        <v>#N/A</v>
      </c>
      <c r="H936" s="4" t="s">
        <v>834</v>
      </c>
      <c r="I936" s="28">
        <v>600</v>
      </c>
      <c r="J936" s="28"/>
    </row>
    <row r="937" spans="1:10">
      <c r="A937" s="25">
        <v>242303</v>
      </c>
      <c r="B937" s="26" t="s">
        <v>26</v>
      </c>
      <c r="C937" s="27" t="str">
        <f>VLOOKUP(B937,'Accounts chart'!$A:$B,2,FALSE)</f>
        <v>รายได้ค่าส่วนกลางไม่ทราบชือ</v>
      </c>
      <c r="D937" s="4"/>
      <c r="E937" s="4" t="s">
        <v>876</v>
      </c>
      <c r="F937" s="4" t="s">
        <v>834</v>
      </c>
      <c r="G937" s="4" t="e">
        <f>VLOOKUP(F937,รายชื่อลูกบ้าน!$A:$B,2,FALSE)</f>
        <v>#N/A</v>
      </c>
      <c r="H937" s="4" t="s">
        <v>834</v>
      </c>
      <c r="I937" s="4"/>
      <c r="J937" s="28">
        <v>600</v>
      </c>
    </row>
    <row r="938" spans="1:10">
      <c r="A938" s="2"/>
      <c r="C938" s="3"/>
      <c r="I938" s="20"/>
      <c r="J938" s="20"/>
    </row>
    <row r="939" spans="1:10">
      <c r="A939" s="2">
        <v>242304</v>
      </c>
      <c r="B939" s="7" t="s">
        <v>3</v>
      </c>
      <c r="C939" s="3" t="str">
        <f>VLOOKUP(B939,'Accounts chart'!$A:$B,2,FALSE)</f>
        <v>ธนาคารกสิกรไทย SA-040-1-56500-0</v>
      </c>
      <c r="E939" t="s">
        <v>877</v>
      </c>
      <c r="F939" t="s">
        <v>319</v>
      </c>
      <c r="G939" t="str">
        <f>VLOOKUP(F939,รายชื่อลูกบ้าน!$A:$B,2,FALSE)</f>
        <v>คุณณัฐพงศ์ สุวรรณมณี</v>
      </c>
      <c r="H939" t="s">
        <v>835</v>
      </c>
      <c r="I939" s="23">
        <v>600</v>
      </c>
    </row>
    <row r="940" spans="1:10">
      <c r="A940" s="2">
        <v>242304</v>
      </c>
      <c r="B940" s="7" t="s">
        <v>34</v>
      </c>
      <c r="C940" s="3" t="str">
        <f>VLOOKUP(B940,'Accounts chart'!$A:$B,2,FALSE)</f>
        <v>รายรับค่าส่วนกลาง</v>
      </c>
      <c r="E940" t="s">
        <v>877</v>
      </c>
      <c r="F940" t="s">
        <v>319</v>
      </c>
      <c r="G940" t="str">
        <f>VLOOKUP(F940,รายชื่อลูกบ้าน!$A:$B,2,FALSE)</f>
        <v>คุณณัฐพงศ์ สุวรรณมณี</v>
      </c>
      <c r="H940" t="s">
        <v>835</v>
      </c>
      <c r="J940" s="23">
        <v>600</v>
      </c>
    </row>
    <row r="941" spans="1:10">
      <c r="A941" s="2"/>
      <c r="C941" s="3"/>
    </row>
    <row r="942" spans="1:10">
      <c r="A942" s="2">
        <v>242305</v>
      </c>
      <c r="B942" s="7" t="s">
        <v>3</v>
      </c>
      <c r="C942" s="3" t="str">
        <f>VLOOKUP(B942,'Accounts chart'!$A:$B,2,FALSE)</f>
        <v>ธนาคารกสิกรไทย SA-040-1-56500-0</v>
      </c>
      <c r="E942" t="s">
        <v>878</v>
      </c>
      <c r="F942" t="s">
        <v>201</v>
      </c>
      <c r="G942" t="str">
        <f>VLOOKUP(F942,รายชื่อลูกบ้าน!$A:$B,2,FALSE)</f>
        <v>คุณณัฐธีร์ เลิศรัตน์วัฒนา</v>
      </c>
      <c r="H942" t="s">
        <v>835</v>
      </c>
      <c r="I942" s="23">
        <v>600</v>
      </c>
    </row>
    <row r="943" spans="1:10">
      <c r="A943" s="2">
        <v>242305</v>
      </c>
      <c r="B943" s="7" t="s">
        <v>3</v>
      </c>
      <c r="C943" s="3" t="str">
        <f>VLOOKUP(B943,'Accounts chart'!$A:$B,2,FALSE)</f>
        <v>ธนาคารกสิกรไทย SA-040-1-56500-0</v>
      </c>
      <c r="E943" t="s">
        <v>879</v>
      </c>
      <c r="F943" t="s">
        <v>227</v>
      </c>
      <c r="G943" t="str">
        <f>VLOOKUP(F943,รายชื่อลูกบ้าน!$A:$B,2,FALSE)</f>
        <v>คุณเกียรติชัย การรุ่งเรือง-คุณศศิธร เศียรศิริบัณฑิต</v>
      </c>
      <c r="H943" t="s">
        <v>835</v>
      </c>
      <c r="I943" s="23">
        <v>600</v>
      </c>
    </row>
    <row r="944" spans="1:10">
      <c r="A944" s="2">
        <v>242305</v>
      </c>
      <c r="B944" s="7" t="s">
        <v>3</v>
      </c>
      <c r="C944" s="3" t="str">
        <f>VLOOKUP(B944,'Accounts chart'!$A:$B,2,FALSE)</f>
        <v>ธนาคารกสิกรไทย SA-040-1-56500-0</v>
      </c>
      <c r="E944" t="s">
        <v>880</v>
      </c>
      <c r="F944" t="s">
        <v>364</v>
      </c>
      <c r="G944" t="str">
        <f>VLOOKUP(F944,รายชื่อลูกบ้าน!$A:$B,2,FALSE)</f>
        <v>คุณกิตติ แสวงภาค</v>
      </c>
      <c r="H944" t="s">
        <v>904</v>
      </c>
      <c r="I944" s="23">
        <v>600</v>
      </c>
    </row>
    <row r="945" spans="1:10">
      <c r="A945" s="25">
        <v>242305</v>
      </c>
      <c r="B945" s="26" t="s">
        <v>3</v>
      </c>
      <c r="C945" s="27" t="str">
        <f>VLOOKUP(B945,'Accounts chart'!$A:$B,2,FALSE)</f>
        <v>ธนาคารกสิกรไทย SA-040-1-56500-0</v>
      </c>
      <c r="D945" s="4"/>
      <c r="E945" s="4" t="s">
        <v>881</v>
      </c>
      <c r="F945" s="4" t="s">
        <v>834</v>
      </c>
      <c r="G945" s="4" t="e">
        <f>VLOOKUP(F945,รายชื่อลูกบ้าน!$A:$B,2,FALSE)</f>
        <v>#N/A</v>
      </c>
      <c r="H945" s="4" t="s">
        <v>834</v>
      </c>
      <c r="I945" s="28">
        <v>600</v>
      </c>
      <c r="J945" s="28"/>
    </row>
    <row r="946" spans="1:10">
      <c r="A946" s="2">
        <v>242305</v>
      </c>
      <c r="B946" s="7" t="s">
        <v>34</v>
      </c>
      <c r="C946" s="3" t="str">
        <f>VLOOKUP(B946,'Accounts chart'!$A:$B,2,FALSE)</f>
        <v>รายรับค่าส่วนกลาง</v>
      </c>
      <c r="E946" t="s">
        <v>878</v>
      </c>
      <c r="F946" t="s">
        <v>201</v>
      </c>
      <c r="G946" t="str">
        <f>VLOOKUP(F946,รายชื่อลูกบ้าน!$A:$B,2,FALSE)</f>
        <v>คุณณัฐธีร์ เลิศรัตน์วัฒนา</v>
      </c>
      <c r="H946" t="s">
        <v>835</v>
      </c>
      <c r="I946"/>
      <c r="J946" s="23">
        <v>600</v>
      </c>
    </row>
    <row r="947" spans="1:10">
      <c r="A947" s="2">
        <v>242305</v>
      </c>
      <c r="B947" s="7" t="s">
        <v>34</v>
      </c>
      <c r="C947" s="3" t="str">
        <f>VLOOKUP(B947,'Accounts chart'!$A:$B,2,FALSE)</f>
        <v>รายรับค่าส่วนกลาง</v>
      </c>
      <c r="E947" t="s">
        <v>879</v>
      </c>
      <c r="F947" t="s">
        <v>227</v>
      </c>
      <c r="G947" t="str">
        <f>VLOOKUP(F947,รายชื่อลูกบ้าน!$A:$B,2,FALSE)</f>
        <v>คุณเกียรติชัย การรุ่งเรือง-คุณศศิธร เศียรศิริบัณฑิต</v>
      </c>
      <c r="H947" t="s">
        <v>835</v>
      </c>
      <c r="I947"/>
      <c r="J947" s="23">
        <v>600</v>
      </c>
    </row>
    <row r="948" spans="1:10">
      <c r="A948" s="2">
        <v>242305</v>
      </c>
      <c r="B948" s="7" t="s">
        <v>34</v>
      </c>
      <c r="C948" s="3" t="str">
        <f>VLOOKUP(B948,'Accounts chart'!$A:$B,2,FALSE)</f>
        <v>รายรับค่าส่วนกลาง</v>
      </c>
      <c r="E948" t="s">
        <v>880</v>
      </c>
      <c r="F948" t="s">
        <v>364</v>
      </c>
      <c r="G948" t="str">
        <f>VLOOKUP(F948,รายชื่อลูกบ้าน!$A:$B,2,FALSE)</f>
        <v>คุณกิตติ แสวงภาค</v>
      </c>
      <c r="H948" t="s">
        <v>904</v>
      </c>
      <c r="I948"/>
      <c r="J948" s="23">
        <v>600</v>
      </c>
    </row>
    <row r="949" spans="1:10">
      <c r="A949" s="25">
        <v>242305</v>
      </c>
      <c r="B949" s="26" t="s">
        <v>26</v>
      </c>
      <c r="C949" s="27" t="str">
        <f>VLOOKUP(B949,'Accounts chart'!$A:$B,2,FALSE)</f>
        <v>รายได้ค่าส่วนกลางไม่ทราบชือ</v>
      </c>
      <c r="D949" s="4"/>
      <c r="E949" s="4" t="s">
        <v>881</v>
      </c>
      <c r="F949" s="4" t="s">
        <v>834</v>
      </c>
      <c r="G949" s="4" t="e">
        <f>VLOOKUP(F949,รายชื่อลูกบ้าน!$A:$B,2,FALSE)</f>
        <v>#N/A</v>
      </c>
      <c r="H949" s="4" t="s">
        <v>834</v>
      </c>
      <c r="I949" s="4"/>
      <c r="J949" s="28">
        <v>600</v>
      </c>
    </row>
    <row r="950" spans="1:10">
      <c r="A950" s="2"/>
      <c r="C950" s="3"/>
      <c r="I950" s="20"/>
      <c r="J950" s="20"/>
    </row>
    <row r="951" spans="1:10">
      <c r="A951" s="2">
        <v>242306</v>
      </c>
      <c r="B951" s="7" t="s">
        <v>3</v>
      </c>
      <c r="C951" s="3" t="str">
        <f>VLOOKUP(B951,'Accounts chart'!$A:$B,2,FALSE)</f>
        <v>ธนาคารกสิกรไทย SA-040-1-56500-0</v>
      </c>
      <c r="E951" t="s">
        <v>882</v>
      </c>
      <c r="F951" t="s">
        <v>323</v>
      </c>
      <c r="G951" t="str">
        <f>VLOOKUP(F951,รายชื่อลูกบ้าน!$A:$B,2,FALSE)</f>
        <v>คุณเกียงไกร ไชยเดช</v>
      </c>
      <c r="H951" t="s">
        <v>835</v>
      </c>
      <c r="I951" s="23">
        <v>600</v>
      </c>
    </row>
    <row r="952" spans="1:10">
      <c r="A952" s="2">
        <v>242306</v>
      </c>
      <c r="B952" s="7" t="s">
        <v>3</v>
      </c>
      <c r="C952" s="3" t="str">
        <f>VLOOKUP(B952,'Accounts chart'!$A:$B,2,FALSE)</f>
        <v>ธนาคารกสิกรไทย SA-040-1-56500-0</v>
      </c>
      <c r="E952" t="s">
        <v>883</v>
      </c>
      <c r="F952" t="s">
        <v>130</v>
      </c>
      <c r="G952" t="str">
        <f>VLOOKUP(F952,รายชื่อลูกบ้าน!$A:$B,2,FALSE)</f>
        <v>คุณสุทัศน์ หรือสุวรรณ-คุณอัญชลี จิตรเอื้อ</v>
      </c>
      <c r="H952" t="s">
        <v>902</v>
      </c>
      <c r="I952" s="23">
        <v>1800</v>
      </c>
    </row>
    <row r="953" spans="1:10">
      <c r="A953" s="2">
        <v>242306</v>
      </c>
      <c r="B953" s="7" t="s">
        <v>3</v>
      </c>
      <c r="C953" s="3" t="str">
        <f>VLOOKUP(B953,'Accounts chart'!$A:$B,2,FALSE)</f>
        <v>ธนาคารกสิกรไทย SA-040-1-56500-0</v>
      </c>
      <c r="E953" t="s">
        <v>884</v>
      </c>
      <c r="F953" t="s">
        <v>69</v>
      </c>
      <c r="G953" t="str">
        <f>VLOOKUP(F953,รายชื่อลูกบ้าน!$A:$B,2,FALSE)</f>
        <v>คุณโกวิท-คุณศันสนีย์ รัตนมณี</v>
      </c>
      <c r="H953" t="s">
        <v>835</v>
      </c>
      <c r="I953" s="23">
        <v>600</v>
      </c>
    </row>
    <row r="954" spans="1:10">
      <c r="A954" s="2">
        <v>242306</v>
      </c>
      <c r="B954" s="7" t="s">
        <v>3</v>
      </c>
      <c r="C954" s="3" t="str">
        <f>VLOOKUP(B954,'Accounts chart'!$A:$B,2,FALSE)</f>
        <v>ธนาคารกสิกรไทย SA-040-1-56500-0</v>
      </c>
      <c r="E954" t="s">
        <v>885</v>
      </c>
      <c r="F954" t="s">
        <v>358</v>
      </c>
      <c r="G954" t="str">
        <f>VLOOKUP(F954,รายชื่อลูกบ้าน!$A:$B,2,FALSE)</f>
        <v>คุณอำนาจ โพธิ์จันทร์</v>
      </c>
      <c r="H954" t="s">
        <v>905</v>
      </c>
      <c r="I954" s="23">
        <v>4201.5200000000004</v>
      </c>
    </row>
    <row r="955" spans="1:10">
      <c r="A955" s="25">
        <v>242306</v>
      </c>
      <c r="B955" s="26" t="s">
        <v>3</v>
      </c>
      <c r="C955" s="27" t="str">
        <f>VLOOKUP(B955,'Accounts chart'!$A:$B,2,FALSE)</f>
        <v>ธนาคารกสิกรไทย SA-040-1-56500-0</v>
      </c>
      <c r="D955" s="4"/>
      <c r="E955" s="4" t="s">
        <v>886</v>
      </c>
      <c r="F955" s="4" t="s">
        <v>834</v>
      </c>
      <c r="G955" s="4" t="e">
        <f>VLOOKUP(F955,รายชื่อลูกบ้าน!$A:$B,2,FALSE)</f>
        <v>#N/A</v>
      </c>
      <c r="H955" s="4" t="s">
        <v>834</v>
      </c>
      <c r="I955" s="28">
        <v>600</v>
      </c>
      <c r="J955" s="28"/>
    </row>
    <row r="956" spans="1:10">
      <c r="A956" s="25">
        <v>242306</v>
      </c>
      <c r="B956" s="26" t="s">
        <v>3</v>
      </c>
      <c r="C956" s="27" t="str">
        <f>VLOOKUP(B956,'Accounts chart'!$A:$B,2,FALSE)</f>
        <v>ธนาคารกสิกรไทย SA-040-1-56500-0</v>
      </c>
      <c r="D956" s="4"/>
      <c r="E956" s="4" t="s">
        <v>887</v>
      </c>
      <c r="F956" s="4" t="s">
        <v>834</v>
      </c>
      <c r="G956" s="4" t="e">
        <f>VLOOKUP(F956,รายชื่อลูกบ้าน!$A:$B,2,FALSE)</f>
        <v>#N/A</v>
      </c>
      <c r="H956" s="4" t="s">
        <v>834</v>
      </c>
      <c r="I956" s="28">
        <v>1800</v>
      </c>
      <c r="J956" s="28"/>
    </row>
    <row r="957" spans="1:10">
      <c r="A957" s="2">
        <v>242306</v>
      </c>
      <c r="B957" s="7" t="s">
        <v>3</v>
      </c>
      <c r="C957" s="3" t="str">
        <f>VLOOKUP(B957,'Accounts chart'!$A:$B,2,FALSE)</f>
        <v>ธนาคารกสิกรไทย SA-040-1-56500-0</v>
      </c>
      <c r="E957" t="s">
        <v>888</v>
      </c>
      <c r="F957" t="s">
        <v>126</v>
      </c>
      <c r="G957" t="str">
        <f>VLOOKUP(F957,รายชื่อลูกบ้าน!$A:$B,2,FALSE)</f>
        <v>คุณนิกร คาดสันเทียะ</v>
      </c>
      <c r="H957" t="s">
        <v>906</v>
      </c>
      <c r="I957" s="23">
        <v>3600</v>
      </c>
    </row>
    <row r="958" spans="1:10">
      <c r="A958" s="2">
        <v>242306</v>
      </c>
      <c r="B958" s="7" t="s">
        <v>34</v>
      </c>
      <c r="C958" s="3" t="str">
        <f>VLOOKUP(B958,'Accounts chart'!$A:$B,2,FALSE)</f>
        <v>รายรับค่าส่วนกลาง</v>
      </c>
      <c r="E958" t="s">
        <v>882</v>
      </c>
      <c r="F958" t="s">
        <v>323</v>
      </c>
      <c r="G958" t="str">
        <f>VLOOKUP(F958,รายชื่อลูกบ้าน!$A:$B,2,FALSE)</f>
        <v>คุณเกียงไกร ไชยเดช</v>
      </c>
      <c r="H958" t="s">
        <v>835</v>
      </c>
      <c r="J958" s="23">
        <v>600</v>
      </c>
    </row>
    <row r="959" spans="1:10">
      <c r="A959" s="2">
        <v>242306</v>
      </c>
      <c r="B959" s="7" t="s">
        <v>34</v>
      </c>
      <c r="C959" s="3" t="str">
        <f>VLOOKUP(B959,'Accounts chart'!$A:$B,2,FALSE)</f>
        <v>รายรับค่าส่วนกลาง</v>
      </c>
      <c r="E959" t="s">
        <v>883</v>
      </c>
      <c r="F959" t="s">
        <v>130</v>
      </c>
      <c r="G959" t="str">
        <f>VLOOKUP(F959,รายชื่อลูกบ้าน!$A:$B,2,FALSE)</f>
        <v>คุณสุทัศน์ หรือสุวรรณ-คุณอัญชลี จิตรเอื้อ</v>
      </c>
      <c r="H959" t="s">
        <v>902</v>
      </c>
      <c r="J959" s="23">
        <v>1800</v>
      </c>
    </row>
    <row r="960" spans="1:10">
      <c r="A960" s="2">
        <v>242306</v>
      </c>
      <c r="B960" s="7" t="s">
        <v>34</v>
      </c>
      <c r="C960" s="3" t="str">
        <f>VLOOKUP(B960,'Accounts chart'!$A:$B,2,FALSE)</f>
        <v>รายรับค่าส่วนกลาง</v>
      </c>
      <c r="E960" t="s">
        <v>884</v>
      </c>
      <c r="F960" t="s">
        <v>69</v>
      </c>
      <c r="G960" t="str">
        <f>VLOOKUP(F960,รายชื่อลูกบ้าน!$A:$B,2,FALSE)</f>
        <v>คุณโกวิท-คุณศันสนีย์ รัตนมณี</v>
      </c>
      <c r="H960" t="s">
        <v>835</v>
      </c>
      <c r="J960" s="23">
        <v>600</v>
      </c>
    </row>
    <row r="961" spans="1:11">
      <c r="A961" s="2">
        <v>242306</v>
      </c>
      <c r="B961" s="7" t="s">
        <v>4</v>
      </c>
      <c r="C961" s="3" t="str">
        <f>VLOOKUP(B961,'Accounts chart'!$A:$B,2,FALSE)</f>
        <v>ลูกหนี้ค่าส่วนกลาง</v>
      </c>
      <c r="E961" t="s">
        <v>885</v>
      </c>
      <c r="F961" t="s">
        <v>358</v>
      </c>
      <c r="G961" t="str">
        <f>VLOOKUP(F961,รายชื่อลูกบ้าน!$A:$B,2,FALSE)</f>
        <v>คุณอำนาจ โพธิ์จันทร์</v>
      </c>
      <c r="H961" t="s">
        <v>908</v>
      </c>
      <c r="J961" s="23">
        <v>1200</v>
      </c>
      <c r="K961" s="23"/>
    </row>
    <row r="962" spans="1:11">
      <c r="A962" s="2">
        <v>242306</v>
      </c>
      <c r="B962" s="7" t="s">
        <v>34</v>
      </c>
      <c r="C962" s="3" t="str">
        <f>VLOOKUP(B962,'Accounts chart'!$A:$B,2,FALSE)</f>
        <v>รายรับค่าส่วนกลาง</v>
      </c>
      <c r="E962" t="s">
        <v>885</v>
      </c>
      <c r="F962" t="s">
        <v>358</v>
      </c>
      <c r="G962" t="str">
        <f>VLOOKUP(F962,รายชื่อลูกบ้าน!$A:$B,2,FALSE)</f>
        <v>คุณอำนาจ โพธิ์จันทร์</v>
      </c>
      <c r="H962" t="s">
        <v>909</v>
      </c>
      <c r="J962" s="23">
        <v>3001.52</v>
      </c>
    </row>
    <row r="963" spans="1:11">
      <c r="A963" s="25">
        <v>242306</v>
      </c>
      <c r="B963" s="26" t="s">
        <v>26</v>
      </c>
      <c r="C963" s="27" t="str">
        <f>VLOOKUP(B963,'Accounts chart'!$A:$B,2,FALSE)</f>
        <v>รายได้ค่าส่วนกลางไม่ทราบชือ</v>
      </c>
      <c r="D963" s="4"/>
      <c r="E963" s="4" t="s">
        <v>886</v>
      </c>
      <c r="F963" s="4" t="s">
        <v>834</v>
      </c>
      <c r="G963" s="4" t="e">
        <f>VLOOKUP(F963,รายชื่อลูกบ้าน!$A:$B,2,FALSE)</f>
        <v>#N/A</v>
      </c>
      <c r="H963" s="4" t="s">
        <v>834</v>
      </c>
      <c r="I963" s="28"/>
      <c r="J963" s="28">
        <v>600</v>
      </c>
    </row>
    <row r="964" spans="1:11">
      <c r="A964" s="25">
        <v>242306</v>
      </c>
      <c r="B964" s="26" t="s">
        <v>26</v>
      </c>
      <c r="C964" s="27" t="str">
        <f>VLOOKUP(B964,'Accounts chart'!$A:$B,2,FALSE)</f>
        <v>รายได้ค่าส่วนกลางไม่ทราบชือ</v>
      </c>
      <c r="D964" s="4"/>
      <c r="E964" s="4" t="s">
        <v>887</v>
      </c>
      <c r="F964" s="4" t="s">
        <v>834</v>
      </c>
      <c r="G964" s="4" t="e">
        <f>VLOOKUP(F964,รายชื่อลูกบ้าน!$A:$B,2,FALSE)</f>
        <v>#N/A</v>
      </c>
      <c r="H964" s="4" t="s">
        <v>834</v>
      </c>
      <c r="I964" s="28"/>
      <c r="J964" s="28">
        <v>1800</v>
      </c>
    </row>
    <row r="965" spans="1:11">
      <c r="A965" s="2">
        <v>242306</v>
      </c>
      <c r="B965" s="7" t="s">
        <v>4</v>
      </c>
      <c r="C965" s="3" t="str">
        <f>VLOOKUP(B965,'Accounts chart'!$A:$B,2,FALSE)</f>
        <v>ลูกหนี้ค่าส่วนกลาง</v>
      </c>
      <c r="E965" t="s">
        <v>888</v>
      </c>
      <c r="F965" t="s">
        <v>126</v>
      </c>
      <c r="G965" t="str">
        <f>VLOOKUP(F965,รายชื่อลูกบ้าน!$A:$B,2,FALSE)</f>
        <v>คุณนิกร คาดสันเทียะ</v>
      </c>
      <c r="H965" t="s">
        <v>906</v>
      </c>
      <c r="J965" s="23">
        <v>3600</v>
      </c>
    </row>
    <row r="966" spans="1:11">
      <c r="A966" s="2"/>
      <c r="C966" s="3"/>
    </row>
    <row r="967" spans="1:11">
      <c r="A967" s="2">
        <v>242307</v>
      </c>
      <c r="B967" s="7" t="s">
        <v>3</v>
      </c>
      <c r="C967" s="3" t="str">
        <f>VLOOKUP(B967,'Accounts chart'!$A:$B,2,FALSE)</f>
        <v>ธนาคารกสิกรไทย SA-040-1-56500-0</v>
      </c>
      <c r="E967" t="s">
        <v>889</v>
      </c>
      <c r="F967" t="s">
        <v>101</v>
      </c>
      <c r="G967" t="str">
        <f>VLOOKUP(F967,รายชื่อลูกบ้าน!$A:$B,2,FALSE)</f>
        <v>คุณเฉลิมเกียรติ และนางนันริญา ราชนาจันทร์</v>
      </c>
      <c r="H967" t="s">
        <v>835</v>
      </c>
      <c r="I967" s="23">
        <v>600</v>
      </c>
    </row>
    <row r="968" spans="1:11">
      <c r="A968" s="2">
        <v>242307</v>
      </c>
      <c r="B968" s="7" t="s">
        <v>3</v>
      </c>
      <c r="C968" s="3" t="str">
        <f>VLOOKUP(B968,'Accounts chart'!$A:$B,2,FALSE)</f>
        <v>ธนาคารกสิกรไทย SA-040-1-56500-0</v>
      </c>
      <c r="E968" t="s">
        <v>890</v>
      </c>
      <c r="F968" t="s">
        <v>119</v>
      </c>
      <c r="G968" t="str">
        <f>VLOOKUP(F968,รายชื่อลูกบ้าน!$A:$B,2,FALSE)</f>
        <v>คุณกนกลักษณ์ วิลเลี่ยมส์</v>
      </c>
      <c r="H968" t="s">
        <v>907</v>
      </c>
      <c r="I968" s="23">
        <v>1800.15</v>
      </c>
    </row>
    <row r="969" spans="1:11">
      <c r="A969" s="2">
        <v>242307</v>
      </c>
      <c r="B969" s="7" t="s">
        <v>3</v>
      </c>
      <c r="C969" s="3" t="str">
        <f>VLOOKUP(B969,'Accounts chart'!$A:$B,2,FALSE)</f>
        <v>ธนาคารกสิกรไทย SA-040-1-56500-0</v>
      </c>
      <c r="E969" t="s">
        <v>891</v>
      </c>
      <c r="F969" t="s">
        <v>185</v>
      </c>
      <c r="G969" t="str">
        <f>VLOOKUP(F969,รายชื่อลูกบ้าน!$A:$B,2,FALSE)</f>
        <v>คุณชาญชัย ตนะศุภผล</v>
      </c>
      <c r="H969" t="s">
        <v>904</v>
      </c>
      <c r="I969" s="23">
        <v>600.54999999999995</v>
      </c>
    </row>
    <row r="970" spans="1:11">
      <c r="A970" s="2">
        <v>242307</v>
      </c>
      <c r="B970" s="7" t="s">
        <v>3</v>
      </c>
      <c r="C970" s="3" t="str">
        <f>VLOOKUP(B970,'Accounts chart'!$A:$B,2,FALSE)</f>
        <v>ธนาคารกสิกรไทย SA-040-1-56500-0</v>
      </c>
      <c r="E970" t="s">
        <v>892</v>
      </c>
      <c r="F970" t="s">
        <v>233</v>
      </c>
      <c r="G970" t="str">
        <f>VLOOKUP(F970,รายชื่อลูกบ้าน!$A:$B,2,FALSE)</f>
        <v>คุณวิทยา วัดเข้าหลาม</v>
      </c>
      <c r="H970" t="s">
        <v>904</v>
      </c>
      <c r="I970" s="23">
        <v>600.80999999999995</v>
      </c>
    </row>
    <row r="971" spans="1:11">
      <c r="A971" s="2">
        <v>242307</v>
      </c>
      <c r="B971" s="7" t="s">
        <v>3</v>
      </c>
      <c r="C971" s="3" t="str">
        <f>VLOOKUP(B971,'Accounts chart'!$A:$B,2,FALSE)</f>
        <v>ธนาคารกสิกรไทย SA-040-1-56500-0</v>
      </c>
      <c r="E971" t="s">
        <v>893</v>
      </c>
      <c r="F971" t="s">
        <v>187</v>
      </c>
      <c r="G971" t="str">
        <f>VLOOKUP(F971,รายชื่อลูกบ้าน!$A:$B,2,FALSE)</f>
        <v>นายญัชพล ภู่ถาวร</v>
      </c>
      <c r="H971" t="s">
        <v>904</v>
      </c>
      <c r="I971" s="23">
        <v>600</v>
      </c>
    </row>
    <row r="972" spans="1:11">
      <c r="A972" s="2">
        <v>242307</v>
      </c>
      <c r="B972" s="7" t="s">
        <v>3</v>
      </c>
      <c r="C972" s="3" t="str">
        <f>VLOOKUP(B972,'Accounts chart'!$A:$B,2,FALSE)</f>
        <v>ธนาคารกสิกรไทย SA-040-1-56500-0</v>
      </c>
      <c r="E972" t="s">
        <v>894</v>
      </c>
      <c r="F972" t="s">
        <v>118</v>
      </c>
      <c r="G972" t="str">
        <f>VLOOKUP(F972,รายชื่อลูกบ้าน!$A:$B,2,FALSE)</f>
        <v>คุณด้ามพรรณ ตั้งทองจิตร-คุณศราวุธ ฑพธาภิรมย์</v>
      </c>
      <c r="H972" t="s">
        <v>665</v>
      </c>
      <c r="I972" s="23">
        <v>600</v>
      </c>
    </row>
    <row r="973" spans="1:11">
      <c r="A973" s="25">
        <v>242307</v>
      </c>
      <c r="B973" s="26" t="s">
        <v>3</v>
      </c>
      <c r="C973" s="27" t="str">
        <f>VLOOKUP(B973,'Accounts chart'!$A:$B,2,FALSE)</f>
        <v>ธนาคารกสิกรไทย SA-040-1-56500-0</v>
      </c>
      <c r="D973" s="4"/>
      <c r="E973" s="4" t="s">
        <v>895</v>
      </c>
      <c r="F973" s="4" t="s">
        <v>898</v>
      </c>
      <c r="G973" s="4" t="e">
        <f>VLOOKUP(F973,รายชื่อลูกบ้าน!$A:$B,2,FALSE)</f>
        <v>#N/A</v>
      </c>
      <c r="H973" s="4" t="s">
        <v>834</v>
      </c>
      <c r="I973" s="28">
        <v>600</v>
      </c>
      <c r="J973" s="28"/>
    </row>
    <row r="974" spans="1:11">
      <c r="A974" s="2">
        <v>242307</v>
      </c>
      <c r="B974" s="7" t="s">
        <v>34</v>
      </c>
      <c r="C974" s="3" t="str">
        <f>VLOOKUP(B974,'Accounts chart'!$A:$B,2,FALSE)</f>
        <v>รายรับค่าส่วนกลาง</v>
      </c>
      <c r="E974" t="s">
        <v>889</v>
      </c>
      <c r="F974" t="s">
        <v>101</v>
      </c>
      <c r="G974" t="str">
        <f>VLOOKUP(F974,รายชื่อลูกบ้าน!$A:$B,2,FALSE)</f>
        <v>คุณเฉลิมเกียรติ และนางนันริญา ราชนาจันทร์</v>
      </c>
      <c r="H974" t="s">
        <v>835</v>
      </c>
      <c r="I974"/>
      <c r="J974" s="23">
        <v>600</v>
      </c>
    </row>
    <row r="975" spans="1:11">
      <c r="A975" s="2">
        <v>242307</v>
      </c>
      <c r="B975" s="7" t="s">
        <v>34</v>
      </c>
      <c r="C975" s="3" t="str">
        <f>VLOOKUP(B975,'Accounts chart'!$A:$B,2,FALSE)</f>
        <v>รายรับค่าส่วนกลาง</v>
      </c>
      <c r="E975" t="s">
        <v>890</v>
      </c>
      <c r="F975" t="s">
        <v>119</v>
      </c>
      <c r="G975" t="str">
        <f>VLOOKUP(F975,รายชื่อลูกบ้าน!$A:$B,2,FALSE)</f>
        <v>คุณกนกลักษณ์ วิลเลี่ยมส์</v>
      </c>
      <c r="H975" t="s">
        <v>907</v>
      </c>
      <c r="I975"/>
      <c r="J975" s="23">
        <v>1800.15</v>
      </c>
    </row>
    <row r="976" spans="1:11">
      <c r="A976" s="2">
        <v>242307</v>
      </c>
      <c r="B976" s="7" t="s">
        <v>34</v>
      </c>
      <c r="C976" s="3" t="str">
        <f>VLOOKUP(B976,'Accounts chart'!$A:$B,2,FALSE)</f>
        <v>รายรับค่าส่วนกลาง</v>
      </c>
      <c r="E976" t="s">
        <v>891</v>
      </c>
      <c r="F976" t="s">
        <v>185</v>
      </c>
      <c r="G976" t="str">
        <f>VLOOKUP(F976,รายชื่อลูกบ้าน!$A:$B,2,FALSE)</f>
        <v>คุณชาญชัย ตนะศุภผล</v>
      </c>
      <c r="H976" t="s">
        <v>904</v>
      </c>
      <c r="I976"/>
      <c r="J976" s="23">
        <v>600.54999999999995</v>
      </c>
    </row>
    <row r="977" spans="1:10">
      <c r="A977" s="2">
        <v>242307</v>
      </c>
      <c r="B977" s="7" t="s">
        <v>34</v>
      </c>
      <c r="C977" s="3" t="str">
        <f>VLOOKUP(B977,'Accounts chart'!$A:$B,2,FALSE)</f>
        <v>รายรับค่าส่วนกลาง</v>
      </c>
      <c r="E977" t="s">
        <v>892</v>
      </c>
      <c r="F977" t="s">
        <v>233</v>
      </c>
      <c r="G977" t="str">
        <f>VLOOKUP(F977,รายชื่อลูกบ้าน!$A:$B,2,FALSE)</f>
        <v>คุณวิทยา วัดเข้าหลาม</v>
      </c>
      <c r="H977" t="s">
        <v>904</v>
      </c>
      <c r="I977"/>
      <c r="J977" s="23">
        <v>600.80999999999995</v>
      </c>
    </row>
    <row r="978" spans="1:10">
      <c r="A978" s="2">
        <v>242307</v>
      </c>
      <c r="B978" s="7" t="s">
        <v>34</v>
      </c>
      <c r="C978" s="3" t="str">
        <f>VLOOKUP(B978,'Accounts chart'!$A:$B,2,FALSE)</f>
        <v>รายรับค่าส่วนกลาง</v>
      </c>
      <c r="E978" t="s">
        <v>893</v>
      </c>
      <c r="F978" t="s">
        <v>187</v>
      </c>
      <c r="G978" t="str">
        <f>VLOOKUP(F978,รายชื่อลูกบ้าน!$A:$B,2,FALSE)</f>
        <v>นายญัชพล ภู่ถาวร</v>
      </c>
      <c r="H978" t="s">
        <v>904</v>
      </c>
      <c r="I978"/>
      <c r="J978" s="23">
        <v>600</v>
      </c>
    </row>
    <row r="979" spans="1:10">
      <c r="A979" s="2">
        <v>242307</v>
      </c>
      <c r="B979" s="7" t="s">
        <v>34</v>
      </c>
      <c r="C979" s="3" t="str">
        <f>VLOOKUP(B979,'Accounts chart'!$A:$B,2,FALSE)</f>
        <v>รายรับค่าส่วนกลาง</v>
      </c>
      <c r="E979" t="s">
        <v>894</v>
      </c>
      <c r="F979" t="s">
        <v>118</v>
      </c>
      <c r="G979" t="str">
        <f>VLOOKUP(F979,รายชื่อลูกบ้าน!$A:$B,2,FALSE)</f>
        <v>คุณด้ามพรรณ ตั้งทองจิตร-คุณศราวุธ ฑพธาภิรมย์</v>
      </c>
      <c r="H979" t="s">
        <v>665</v>
      </c>
      <c r="I979"/>
      <c r="J979" s="23">
        <v>600</v>
      </c>
    </row>
    <row r="980" spans="1:10">
      <c r="A980" s="25">
        <v>242307</v>
      </c>
      <c r="B980" s="26" t="s">
        <v>26</v>
      </c>
      <c r="C980" s="27" t="str">
        <f>VLOOKUP(B980,'Accounts chart'!$A:$B,2,FALSE)</f>
        <v>รายได้ค่าส่วนกลางไม่ทราบชือ</v>
      </c>
      <c r="D980" s="4"/>
      <c r="E980" s="4" t="s">
        <v>895</v>
      </c>
      <c r="F980" s="4" t="s">
        <v>898</v>
      </c>
      <c r="G980" s="4" t="e">
        <f>VLOOKUP(F980,รายชื่อลูกบ้าน!$A:$B,2,FALSE)</f>
        <v>#N/A</v>
      </c>
      <c r="H980" s="4" t="s">
        <v>834</v>
      </c>
      <c r="I980" s="4"/>
      <c r="J980" s="28">
        <v>600</v>
      </c>
    </row>
    <row r="981" spans="1:10">
      <c r="A981" s="2"/>
      <c r="C981" s="3"/>
      <c r="I981" s="20"/>
      <c r="J981" s="20"/>
    </row>
    <row r="982" spans="1:10">
      <c r="A982" s="2">
        <v>242308</v>
      </c>
      <c r="B982" s="7" t="s">
        <v>3</v>
      </c>
      <c r="C982" s="3" t="str">
        <f>VLOOKUP(B982,'Accounts chart'!$A:$B,2,FALSE)</f>
        <v>ธนาคารกสิกรไทย SA-040-1-56500-0</v>
      </c>
      <c r="E982" t="s">
        <v>896</v>
      </c>
      <c r="F982" t="s">
        <v>195</v>
      </c>
      <c r="G982" t="str">
        <f>VLOOKUP(F982,รายชื่อลูกบ้าน!$A:$B,2,FALSE)</f>
        <v>คุณชานนท์ นนทรังษี</v>
      </c>
      <c r="H982" t="s">
        <v>835</v>
      </c>
      <c r="I982" s="23">
        <v>600</v>
      </c>
    </row>
    <row r="983" spans="1:10">
      <c r="A983" s="2">
        <v>242308</v>
      </c>
      <c r="B983" s="7" t="s">
        <v>3</v>
      </c>
      <c r="C983" s="3" t="str">
        <f>VLOOKUP(B983,'Accounts chart'!$A:$B,2,FALSE)</f>
        <v>ธนาคารกสิกรไทย SA-040-1-56500-0</v>
      </c>
      <c r="E983" t="s">
        <v>897</v>
      </c>
      <c r="F983" t="s">
        <v>72</v>
      </c>
      <c r="G983" t="str">
        <f>VLOOKUP(F983,รายชื่อลูกบ้าน!$A:$B,2,FALSE)</f>
        <v>คุณวรวุฒิ นาทอง</v>
      </c>
      <c r="H983" t="s">
        <v>835</v>
      </c>
      <c r="I983" s="23">
        <v>600</v>
      </c>
    </row>
    <row r="984" spans="1:10">
      <c r="A984" s="2">
        <v>242308</v>
      </c>
      <c r="B984" s="7" t="s">
        <v>34</v>
      </c>
      <c r="C984" s="3" t="str">
        <f>VLOOKUP(B984,'Accounts chart'!$A:$B,2,FALSE)</f>
        <v>รายรับค่าส่วนกลาง</v>
      </c>
      <c r="E984" t="s">
        <v>896</v>
      </c>
      <c r="F984" t="s">
        <v>195</v>
      </c>
      <c r="G984" t="str">
        <f>VLOOKUP(F984,รายชื่อลูกบ้าน!$A:$B,2,FALSE)</f>
        <v>คุณชานนท์ นนทรังษี</v>
      </c>
      <c r="H984" t="s">
        <v>835</v>
      </c>
      <c r="J984" s="23">
        <v>600</v>
      </c>
    </row>
    <row r="985" spans="1:10">
      <c r="A985" s="2">
        <v>242308</v>
      </c>
      <c r="B985" s="7" t="s">
        <v>34</v>
      </c>
      <c r="C985" s="3" t="str">
        <f>VLOOKUP(B985,'Accounts chart'!$A:$B,2,FALSE)</f>
        <v>รายรับค่าส่วนกลาง</v>
      </c>
      <c r="E985" t="s">
        <v>897</v>
      </c>
      <c r="F985" t="s">
        <v>72</v>
      </c>
      <c r="G985" t="str">
        <f>VLOOKUP(F985,รายชื่อลูกบ้าน!$A:$B,2,FALSE)</f>
        <v>คุณวรวุฒิ นาทอง</v>
      </c>
      <c r="H985" t="s">
        <v>835</v>
      </c>
      <c r="J985" s="23">
        <v>600</v>
      </c>
    </row>
    <row r="986" spans="1:10">
      <c r="A986" s="2"/>
      <c r="C986" s="3"/>
    </row>
    <row r="987" spans="1:10">
      <c r="A987" s="2">
        <v>242308</v>
      </c>
      <c r="B987" s="7" t="s">
        <v>46</v>
      </c>
      <c r="C987" s="3" t="str">
        <f>VLOOKUP(B987,'Accounts chart'!$A:$B,2,FALSE)</f>
        <v>ค่าดูแลส่วนกลาง</v>
      </c>
      <c r="D987" t="s">
        <v>974</v>
      </c>
      <c r="H987" t="s">
        <v>967</v>
      </c>
      <c r="I987" s="23">
        <v>15000</v>
      </c>
    </row>
    <row r="988" spans="1:10">
      <c r="A988" s="2">
        <v>242308</v>
      </c>
      <c r="B988" s="7" t="s">
        <v>48</v>
      </c>
      <c r="C988" s="3" t="str">
        <f>VLOOKUP(B988,'Accounts chart'!$A:$B,2,FALSE)</f>
        <v>ค่ารักษาความปลอดภัย</v>
      </c>
      <c r="D988" t="s">
        <v>974</v>
      </c>
      <c r="H988" t="s">
        <v>967</v>
      </c>
      <c r="I988" s="23">
        <v>38814.32</v>
      </c>
    </row>
    <row r="989" spans="1:10">
      <c r="A989" s="2">
        <v>242308</v>
      </c>
      <c r="B989" s="7" t="s">
        <v>50</v>
      </c>
      <c r="C989" s="3" t="str">
        <f>VLOOKUP(B989,'Accounts chart'!$A:$B,2,FALSE)</f>
        <v>ค่าเก็บขยะ</v>
      </c>
      <c r="D989" t="s">
        <v>974</v>
      </c>
      <c r="H989" t="s">
        <v>967</v>
      </c>
      <c r="I989" s="23">
        <v>3000</v>
      </c>
    </row>
    <row r="990" spans="1:10">
      <c r="A990" s="2">
        <v>242308</v>
      </c>
      <c r="B990" s="7" t="s">
        <v>54</v>
      </c>
      <c r="C990" s="3" t="str">
        <f>VLOOKUP(B990,'Accounts chart'!$A:$B,2,FALSE)</f>
        <v>ค่าไฟฟ้า</v>
      </c>
      <c r="D990" t="s">
        <v>974</v>
      </c>
      <c r="H990" t="s">
        <v>967</v>
      </c>
      <c r="I990" s="23">
        <v>4930.58</v>
      </c>
    </row>
    <row r="991" spans="1:10">
      <c r="A991" s="2">
        <v>242308</v>
      </c>
      <c r="B991" s="7" t="s">
        <v>22</v>
      </c>
      <c r="C991" s="3" t="str">
        <f>VLOOKUP(B991,'Accounts chart'!$A:$B,2,FALSE)</f>
        <v>ค่าดูแลส่วนกลางค้างจ่าย</v>
      </c>
      <c r="D991" t="s">
        <v>974</v>
      </c>
      <c r="H991" t="s">
        <v>967</v>
      </c>
      <c r="J991" s="23">
        <v>15000</v>
      </c>
    </row>
    <row r="992" spans="1:10">
      <c r="A992" s="2">
        <v>242308</v>
      </c>
      <c r="B992" s="7" t="s">
        <v>18</v>
      </c>
      <c r="C992" s="3" t="str">
        <f>VLOOKUP(B992,'Accounts chart'!$A:$B,2,FALSE)</f>
        <v>ค่ารักษาความปลอดภัยค้างจ่าย</v>
      </c>
      <c r="D992" t="s">
        <v>974</v>
      </c>
      <c r="H992" t="s">
        <v>967</v>
      </c>
      <c r="J992" s="23">
        <v>38814.32</v>
      </c>
    </row>
    <row r="993" spans="1:10">
      <c r="A993" s="2">
        <v>242308</v>
      </c>
      <c r="B993" s="7" t="s">
        <v>14</v>
      </c>
      <c r="C993" s="3" t="str">
        <f>VLOOKUP(B993,'Accounts chart'!$A:$B,2,FALSE)</f>
        <v>ค่าเก็บขยะค้างจ่าย</v>
      </c>
      <c r="D993" t="s">
        <v>974</v>
      </c>
      <c r="H993" t="s">
        <v>967</v>
      </c>
      <c r="J993" s="23">
        <v>3000</v>
      </c>
    </row>
    <row r="994" spans="1:10">
      <c r="A994" s="2">
        <v>242308</v>
      </c>
      <c r="B994" s="7" t="s">
        <v>20</v>
      </c>
      <c r="C994" s="3" t="str">
        <f>VLOOKUP(B994,'Accounts chart'!$A:$B,2,FALSE)</f>
        <v>ค่าไฟฟ้าค้างจ่าย</v>
      </c>
      <c r="D994" t="s">
        <v>974</v>
      </c>
      <c r="H994" t="s">
        <v>967</v>
      </c>
      <c r="J994" s="23">
        <v>4930.58</v>
      </c>
    </row>
    <row r="995" spans="1:10">
      <c r="A995" s="2"/>
      <c r="C995" s="3"/>
    </row>
    <row r="996" spans="1:10">
      <c r="A996" s="2"/>
      <c r="C996" s="3"/>
    </row>
    <row r="997" spans="1:10">
      <c r="A997" s="2"/>
      <c r="C997" s="3"/>
    </row>
    <row r="998" spans="1:10">
      <c r="A998" s="2"/>
      <c r="C998" s="3"/>
    </row>
    <row r="999" spans="1:10">
      <c r="A999" s="2"/>
      <c r="C999" s="3"/>
    </row>
  </sheetData>
  <autoFilter ref="A5:L999" xr:uid="{2D2548F8-8D1B-465F-8901-D43F54214692}"/>
  <mergeCells count="3">
    <mergeCell ref="B1:J1"/>
    <mergeCell ref="B2:J2"/>
    <mergeCell ref="B3:J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บันทึกรายการ 63</vt:lpstr>
      <vt:lpstr>Statement 63</vt:lpstr>
      <vt:lpstr>TB 63</vt:lpstr>
      <vt:lpstr>Accounts chart</vt:lpstr>
      <vt:lpstr>รายชื่อลูกบ้าน</vt:lpstr>
      <vt:lpstr>บันทึกรายวันMoveToStatement</vt:lpstr>
      <vt:lpstr>'Accounts chart'!Print_Area</vt:lpstr>
      <vt:lpstr>'Statement 63'!Print_Titles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SANCHAI SAIYOT</cp:lastModifiedBy>
  <cp:lastPrinted>2020-06-21T00:43:10Z</cp:lastPrinted>
  <dcterms:created xsi:type="dcterms:W3CDTF">2019-12-28T04:11:57Z</dcterms:created>
  <dcterms:modified xsi:type="dcterms:W3CDTF">2026-02-11T08:19:37Z</dcterms:modified>
</cp:coreProperties>
</file>